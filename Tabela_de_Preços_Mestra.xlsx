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500GB/OneDrive HD MAC/Custom/Sales/Lista de Preços/"/>
    </mc:Choice>
  </mc:AlternateContent>
  <xr:revisionPtr revIDLastSave="0" documentId="8_{6E229D68-E2DC-DE43-B0B9-FCC63A5993D8}" xr6:coauthVersionLast="47" xr6:coauthVersionMax="47" xr10:uidLastSave="{00000000-0000-0000-0000-000000000000}"/>
  <bookViews>
    <workbookView xWindow="34360" yWindow="600" windowWidth="34400" windowHeight="28200" activeTab="1" xr2:uid="{213D7727-98E4-8545-9524-CBF0234FAE9D}"/>
  </bookViews>
  <sheets>
    <sheet name="2025 x 2026" sheetId="1" r:id="rId1"/>
    <sheet name="2026 - Mar - V2" sheetId="8" r:id="rId2"/>
    <sheet name="2026" sheetId="2" r:id="rId3"/>
    <sheet name="2025 NOV" sheetId="3" r:id="rId4"/>
    <sheet name="GERAL" sheetId="4" r:id="rId5"/>
    <sheet name="PNs" sheetId="5" r:id="rId6"/>
    <sheet name="IMPOSTOS" sheetId="6" r:id="rId7"/>
    <sheet name="HELPER" sheetId="7" r:id="rId8"/>
  </sheets>
  <definedNames>
    <definedName name="_xlnm._FilterDatabase" localSheetId="0" hidden="1">'2025 x 2026'!$A$1:$E$87</definedName>
    <definedName name="_xlnm._FilterDatabase" localSheetId="2" hidden="1">'2026'!$A$1:$Y$117</definedName>
    <definedName name="_xlnm._FilterDatabase" localSheetId="6" hidden="1">IMPOSTOS!$A$1:$H$221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1" i="8" l="1"/>
  <c r="P81" i="8"/>
  <c r="Q80" i="8"/>
  <c r="P80" i="8"/>
  <c r="Q79" i="8"/>
  <c r="P79" i="8"/>
  <c r="Q78" i="8"/>
  <c r="P78" i="8"/>
  <c r="Q77" i="8"/>
  <c r="P77" i="8"/>
  <c r="Q76" i="8"/>
  <c r="P76" i="8"/>
  <c r="Q75" i="8"/>
  <c r="P75" i="8"/>
  <c r="Q74" i="8"/>
  <c r="P74" i="8"/>
  <c r="Q73" i="8"/>
  <c r="P73" i="8"/>
  <c r="Q72" i="8"/>
  <c r="P72" i="8"/>
  <c r="Q71" i="8"/>
  <c r="P71" i="8"/>
  <c r="Q70" i="8"/>
  <c r="P70" i="8"/>
  <c r="Q69" i="8"/>
  <c r="P69" i="8"/>
  <c r="Q68" i="8"/>
  <c r="P68" i="8"/>
  <c r="Q67" i="8"/>
  <c r="P67" i="8"/>
  <c r="Q66" i="8"/>
  <c r="P66" i="8"/>
  <c r="Q65" i="8"/>
  <c r="P65" i="8"/>
  <c r="Q64" i="8"/>
  <c r="P64" i="8"/>
  <c r="Q63" i="8"/>
  <c r="P63" i="8"/>
  <c r="Q62" i="8"/>
  <c r="P62" i="8"/>
  <c r="Q61" i="8"/>
  <c r="P61" i="8"/>
  <c r="Q60" i="8"/>
  <c r="P60" i="8"/>
  <c r="Q59" i="8"/>
  <c r="P59" i="8"/>
  <c r="Q58" i="8"/>
  <c r="P58" i="8"/>
  <c r="Q57" i="8"/>
  <c r="P57" i="8"/>
  <c r="Q56" i="8"/>
  <c r="P56" i="8"/>
  <c r="Q55" i="8"/>
  <c r="P55" i="8"/>
  <c r="Q54" i="8"/>
  <c r="P54" i="8"/>
  <c r="Q53" i="8"/>
  <c r="P53" i="8"/>
  <c r="Q52" i="8"/>
  <c r="P52" i="8"/>
  <c r="Q51" i="8"/>
  <c r="P51" i="8"/>
  <c r="Q50" i="8"/>
  <c r="P50" i="8"/>
  <c r="Q49" i="8"/>
  <c r="P49" i="8"/>
  <c r="Q48" i="8"/>
  <c r="P48" i="8"/>
  <c r="Q47" i="8"/>
  <c r="P47" i="8"/>
  <c r="Q46" i="8"/>
  <c r="P46" i="8"/>
  <c r="Q45" i="8"/>
  <c r="P45" i="8"/>
  <c r="Q44" i="8"/>
  <c r="P44" i="8"/>
  <c r="Q43" i="8"/>
  <c r="P43" i="8"/>
  <c r="Q42" i="8"/>
  <c r="P42" i="8"/>
  <c r="Q41" i="8"/>
  <c r="P41" i="8"/>
  <c r="Q40" i="8"/>
  <c r="P40" i="8"/>
  <c r="Q39" i="8"/>
  <c r="P39" i="8"/>
  <c r="Q38" i="8"/>
  <c r="P38" i="8"/>
  <c r="Q37" i="8"/>
  <c r="P37" i="8"/>
  <c r="Q36" i="8"/>
  <c r="P36" i="8"/>
  <c r="Q35" i="8"/>
  <c r="P35" i="8"/>
  <c r="Q34" i="8"/>
  <c r="P34" i="8"/>
  <c r="Q33" i="8"/>
  <c r="P33" i="8"/>
  <c r="Q32" i="8"/>
  <c r="P32" i="8"/>
  <c r="Q31" i="8"/>
  <c r="P31" i="8"/>
  <c r="Q30" i="8"/>
  <c r="P30" i="8"/>
  <c r="Q29" i="8"/>
  <c r="P29" i="8"/>
  <c r="Q28" i="8"/>
  <c r="P28" i="8"/>
  <c r="Q27" i="8"/>
  <c r="P27" i="8"/>
  <c r="Q26" i="8"/>
  <c r="P26" i="8"/>
  <c r="Q25" i="8"/>
  <c r="P25" i="8"/>
  <c r="Q24" i="8"/>
  <c r="P24" i="8"/>
  <c r="Q23" i="8"/>
  <c r="P23" i="8"/>
  <c r="Q22" i="8"/>
  <c r="P22" i="8"/>
  <c r="Q21" i="8"/>
  <c r="P21" i="8"/>
  <c r="Q20" i="8"/>
  <c r="P20" i="8"/>
  <c r="Q19" i="8"/>
  <c r="P19" i="8"/>
  <c r="Q18" i="8"/>
  <c r="P18" i="8"/>
  <c r="Q17" i="8"/>
  <c r="P17" i="8"/>
  <c r="Q16" i="8"/>
  <c r="P16" i="8"/>
  <c r="Q15" i="8"/>
  <c r="P15" i="8"/>
  <c r="Q14" i="8"/>
  <c r="P14" i="8"/>
  <c r="Q13" i="8"/>
  <c r="P13" i="8"/>
  <c r="Q12" i="8"/>
  <c r="P12" i="8"/>
  <c r="Q11" i="8"/>
  <c r="P11" i="8"/>
  <c r="Q10" i="8"/>
  <c r="P10" i="8"/>
  <c r="Q9" i="8"/>
  <c r="P9" i="8"/>
  <c r="Q8" i="8"/>
  <c r="P8" i="8"/>
  <c r="Q7" i="8"/>
  <c r="P7" i="8"/>
  <c r="Q6" i="8"/>
  <c r="P6" i="8"/>
  <c r="Q5" i="8"/>
  <c r="P5" i="8"/>
  <c r="Q4" i="8"/>
  <c r="P4" i="8"/>
  <c r="Q3" i="8"/>
  <c r="P3" i="8"/>
  <c r="Q2" i="8"/>
  <c r="P2" i="8"/>
  <c r="O81" i="8"/>
  <c r="N81" i="8"/>
  <c r="M81" i="8"/>
  <c r="O80" i="8"/>
  <c r="N80" i="8"/>
  <c r="M80" i="8"/>
  <c r="O79" i="8"/>
  <c r="N79" i="8"/>
  <c r="M79" i="8"/>
  <c r="O78" i="8"/>
  <c r="N78" i="8"/>
  <c r="M78" i="8"/>
  <c r="O77" i="8"/>
  <c r="N77" i="8"/>
  <c r="M77" i="8"/>
  <c r="O76" i="8"/>
  <c r="N76" i="8"/>
  <c r="M76" i="8"/>
  <c r="O75" i="8"/>
  <c r="N75" i="8"/>
  <c r="M75" i="8"/>
  <c r="O74" i="8"/>
  <c r="N74" i="8"/>
  <c r="M74" i="8"/>
  <c r="O73" i="8"/>
  <c r="N73" i="8"/>
  <c r="M73" i="8"/>
  <c r="O72" i="8"/>
  <c r="N72" i="8"/>
  <c r="M72" i="8"/>
  <c r="O71" i="8"/>
  <c r="N71" i="8"/>
  <c r="M71" i="8"/>
  <c r="O70" i="8"/>
  <c r="N70" i="8"/>
  <c r="M70" i="8"/>
  <c r="O69" i="8"/>
  <c r="N69" i="8"/>
  <c r="M69" i="8"/>
  <c r="O68" i="8"/>
  <c r="N68" i="8"/>
  <c r="M68" i="8"/>
  <c r="O67" i="8"/>
  <c r="N67" i="8"/>
  <c r="M67" i="8"/>
  <c r="O66" i="8"/>
  <c r="N66" i="8"/>
  <c r="M66" i="8"/>
  <c r="O65" i="8"/>
  <c r="N65" i="8"/>
  <c r="M65" i="8"/>
  <c r="O64" i="8"/>
  <c r="N64" i="8"/>
  <c r="M64" i="8"/>
  <c r="O63" i="8"/>
  <c r="N63" i="8"/>
  <c r="M63" i="8"/>
  <c r="O62" i="8"/>
  <c r="N62" i="8"/>
  <c r="M62" i="8"/>
  <c r="O61" i="8"/>
  <c r="N61" i="8"/>
  <c r="M61" i="8"/>
  <c r="O60" i="8"/>
  <c r="N60" i="8"/>
  <c r="M60" i="8"/>
  <c r="O59" i="8"/>
  <c r="N59" i="8"/>
  <c r="M59" i="8"/>
  <c r="O58" i="8"/>
  <c r="N58" i="8"/>
  <c r="M58" i="8"/>
  <c r="O57" i="8"/>
  <c r="N57" i="8"/>
  <c r="M57" i="8"/>
  <c r="O56" i="8"/>
  <c r="N56" i="8"/>
  <c r="M56" i="8"/>
  <c r="O55" i="8"/>
  <c r="N55" i="8"/>
  <c r="M55" i="8"/>
  <c r="O54" i="8"/>
  <c r="N54" i="8"/>
  <c r="M54" i="8"/>
  <c r="O53" i="8"/>
  <c r="N53" i="8"/>
  <c r="M53" i="8"/>
  <c r="O52" i="8"/>
  <c r="N52" i="8"/>
  <c r="M52" i="8"/>
  <c r="O51" i="8"/>
  <c r="N51" i="8"/>
  <c r="M51" i="8"/>
  <c r="O50" i="8"/>
  <c r="N50" i="8"/>
  <c r="M50" i="8"/>
  <c r="O49" i="8"/>
  <c r="N49" i="8"/>
  <c r="M49" i="8"/>
  <c r="O48" i="8"/>
  <c r="N48" i="8"/>
  <c r="M48" i="8"/>
  <c r="O47" i="8"/>
  <c r="N47" i="8"/>
  <c r="M47" i="8"/>
  <c r="O46" i="8"/>
  <c r="N46" i="8"/>
  <c r="M46" i="8"/>
  <c r="O45" i="8"/>
  <c r="N45" i="8"/>
  <c r="M45" i="8"/>
  <c r="O44" i="8"/>
  <c r="N44" i="8"/>
  <c r="M44" i="8"/>
  <c r="O43" i="8"/>
  <c r="N43" i="8"/>
  <c r="M43" i="8"/>
  <c r="O42" i="8"/>
  <c r="N42" i="8"/>
  <c r="M42" i="8"/>
  <c r="O41" i="8"/>
  <c r="N41" i="8"/>
  <c r="M41" i="8"/>
  <c r="O40" i="8"/>
  <c r="N40" i="8"/>
  <c r="M40" i="8"/>
  <c r="O39" i="8"/>
  <c r="N39" i="8"/>
  <c r="M39" i="8"/>
  <c r="O38" i="8"/>
  <c r="N38" i="8"/>
  <c r="M38" i="8"/>
  <c r="O37" i="8"/>
  <c r="N37" i="8"/>
  <c r="M37" i="8"/>
  <c r="O36" i="8"/>
  <c r="N36" i="8"/>
  <c r="M36" i="8"/>
  <c r="O35" i="8"/>
  <c r="N35" i="8"/>
  <c r="M35" i="8"/>
  <c r="O34" i="8"/>
  <c r="N34" i="8"/>
  <c r="M34" i="8"/>
  <c r="O33" i="8"/>
  <c r="N33" i="8"/>
  <c r="M33" i="8"/>
  <c r="O32" i="8"/>
  <c r="N32" i="8"/>
  <c r="M32" i="8"/>
  <c r="O31" i="8"/>
  <c r="N31" i="8"/>
  <c r="M31" i="8"/>
  <c r="O30" i="8"/>
  <c r="N30" i="8"/>
  <c r="M30" i="8"/>
  <c r="O29" i="8"/>
  <c r="N29" i="8"/>
  <c r="M29" i="8"/>
  <c r="O28" i="8"/>
  <c r="N28" i="8"/>
  <c r="M28" i="8"/>
  <c r="O27" i="8"/>
  <c r="N27" i="8"/>
  <c r="M27" i="8"/>
  <c r="O26" i="8"/>
  <c r="N26" i="8"/>
  <c r="M26" i="8"/>
  <c r="O25" i="8"/>
  <c r="N25" i="8"/>
  <c r="M25" i="8"/>
  <c r="O24" i="8"/>
  <c r="N24" i="8"/>
  <c r="M24" i="8"/>
  <c r="O23" i="8"/>
  <c r="N23" i="8"/>
  <c r="M23" i="8"/>
  <c r="O22" i="8"/>
  <c r="N22" i="8"/>
  <c r="M22" i="8"/>
  <c r="O21" i="8"/>
  <c r="N21" i="8"/>
  <c r="M21" i="8"/>
  <c r="O20" i="8"/>
  <c r="N20" i="8"/>
  <c r="M20" i="8"/>
  <c r="O19" i="8"/>
  <c r="N19" i="8"/>
  <c r="M19" i="8"/>
  <c r="O18" i="8"/>
  <c r="N18" i="8"/>
  <c r="M18" i="8"/>
  <c r="O17" i="8"/>
  <c r="N17" i="8"/>
  <c r="M17" i="8"/>
  <c r="O16" i="8"/>
  <c r="N16" i="8"/>
  <c r="M16" i="8"/>
  <c r="O15" i="8"/>
  <c r="N15" i="8"/>
  <c r="M15" i="8"/>
  <c r="O14" i="8"/>
  <c r="N14" i="8"/>
  <c r="M14" i="8"/>
  <c r="O13" i="8"/>
  <c r="N13" i="8"/>
  <c r="M13" i="8"/>
  <c r="O12" i="8"/>
  <c r="N12" i="8"/>
  <c r="M12" i="8"/>
  <c r="O11" i="8"/>
  <c r="N11" i="8"/>
  <c r="M11" i="8"/>
  <c r="O10" i="8"/>
  <c r="N10" i="8"/>
  <c r="M10" i="8"/>
  <c r="O9" i="8"/>
  <c r="N9" i="8"/>
  <c r="M9" i="8"/>
  <c r="O8" i="8"/>
  <c r="N8" i="8"/>
  <c r="M8" i="8"/>
  <c r="O7" i="8"/>
  <c r="N7" i="8"/>
  <c r="M7" i="8"/>
  <c r="O6" i="8"/>
  <c r="N6" i="8"/>
  <c r="M6" i="8"/>
  <c r="O5" i="8"/>
  <c r="N5" i="8"/>
  <c r="M5" i="8"/>
  <c r="O4" i="8"/>
  <c r="N4" i="8"/>
  <c r="M4" i="8"/>
  <c r="O3" i="8"/>
  <c r="N3" i="8"/>
  <c r="M3" i="8"/>
  <c r="O2" i="8"/>
  <c r="N2" i="8"/>
  <c r="M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117" i="2" l="1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K2" i="2" a="1"/>
  <c r="K2" i="2" s="1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 s="1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 s="1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 s="1"/>
  <c r="K66" i="2" a="1"/>
  <c r="K66" i="2" s="1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 s="1"/>
  <c r="K94" i="2" a="1"/>
  <c r="K94" i="2" s="1"/>
  <c r="K95" i="2" a="1"/>
  <c r="K95" i="2" s="1"/>
  <c r="K96" i="2" a="1"/>
  <c r="K96" i="2" s="1"/>
  <c r="K97" i="2" a="1"/>
  <c r="K97" i="2" s="1"/>
  <c r="K98" i="2" a="1"/>
  <c r="K98" i="2" s="1"/>
  <c r="K99" i="2" a="1"/>
  <c r="K99" i="2" s="1"/>
  <c r="K100" i="2" a="1"/>
  <c r="K100" i="2" s="1"/>
  <c r="K101" i="2" a="1"/>
  <c r="K101" i="2" s="1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O117" i="2"/>
  <c r="P117" i="2"/>
  <c r="N117" i="2"/>
  <c r="M117" i="2"/>
  <c r="O116" i="2"/>
  <c r="P116" i="2"/>
  <c r="N116" i="2"/>
  <c r="M116" i="2"/>
  <c r="O115" i="2"/>
  <c r="P115" i="2"/>
  <c r="N115" i="2"/>
  <c r="M115" i="2"/>
  <c r="O114" i="2"/>
  <c r="P114" i="2"/>
  <c r="N114" i="2"/>
  <c r="M114" i="2"/>
  <c r="O113" i="2"/>
  <c r="P113" i="2"/>
  <c r="N113" i="2"/>
  <c r="M113" i="2"/>
  <c r="O112" i="2"/>
  <c r="P112" i="2"/>
  <c r="N112" i="2"/>
  <c r="M112" i="2"/>
  <c r="O111" i="2"/>
  <c r="P111" i="2"/>
  <c r="N111" i="2"/>
  <c r="M111" i="2"/>
  <c r="O110" i="2"/>
  <c r="P110" i="2"/>
  <c r="N110" i="2"/>
  <c r="M110" i="2"/>
  <c r="O109" i="2"/>
  <c r="P109" i="2"/>
  <c r="N109" i="2"/>
  <c r="M109" i="2"/>
  <c r="O108" i="2"/>
  <c r="P108" i="2"/>
  <c r="N108" i="2"/>
  <c r="M108" i="2"/>
  <c r="O107" i="2"/>
  <c r="P107" i="2"/>
  <c r="N107" i="2"/>
  <c r="M107" i="2"/>
  <c r="O106" i="2"/>
  <c r="P106" i="2"/>
  <c r="N106" i="2"/>
  <c r="M106" i="2"/>
  <c r="O105" i="2"/>
  <c r="P105" i="2"/>
  <c r="N105" i="2"/>
  <c r="M105" i="2"/>
  <c r="O104" i="2"/>
  <c r="P104" i="2"/>
  <c r="N104" i="2"/>
  <c r="M104" i="2"/>
  <c r="O103" i="2"/>
  <c r="P103" i="2"/>
  <c r="N103" i="2"/>
  <c r="M103" i="2"/>
  <c r="O102" i="2"/>
  <c r="P102" i="2"/>
  <c r="N102" i="2"/>
  <c r="M102" i="2"/>
  <c r="O101" i="2"/>
  <c r="P101" i="2"/>
  <c r="N101" i="2"/>
  <c r="M101" i="2"/>
  <c r="O100" i="2"/>
  <c r="P100" i="2"/>
  <c r="N100" i="2"/>
  <c r="M100" i="2"/>
  <c r="O99" i="2"/>
  <c r="P99" i="2"/>
  <c r="N99" i="2"/>
  <c r="M99" i="2"/>
  <c r="O98" i="2"/>
  <c r="P98" i="2" s="1"/>
  <c r="N98" i="2"/>
  <c r="M98" i="2"/>
  <c r="O97" i="2"/>
  <c r="P97" i="2"/>
  <c r="N97" i="2"/>
  <c r="M97" i="2"/>
  <c r="O96" i="2"/>
  <c r="P96" i="2"/>
  <c r="N96" i="2"/>
  <c r="M96" i="2"/>
  <c r="O95" i="2"/>
  <c r="P95" i="2"/>
  <c r="N95" i="2"/>
  <c r="M95" i="2"/>
  <c r="O94" i="2"/>
  <c r="P94" i="2"/>
  <c r="N94" i="2"/>
  <c r="M94" i="2"/>
  <c r="O93" i="2"/>
  <c r="P93" i="2"/>
  <c r="N93" i="2"/>
  <c r="M93" i="2"/>
  <c r="O92" i="2"/>
  <c r="P92" i="2"/>
  <c r="N92" i="2"/>
  <c r="M92" i="2"/>
  <c r="O91" i="2"/>
  <c r="P91" i="2"/>
  <c r="N91" i="2"/>
  <c r="M91" i="2"/>
  <c r="O90" i="2"/>
  <c r="P90" i="2"/>
  <c r="N90" i="2"/>
  <c r="M90" i="2"/>
  <c r="O89" i="2"/>
  <c r="P89" i="2"/>
  <c r="N89" i="2"/>
  <c r="M89" i="2"/>
  <c r="O88" i="2"/>
  <c r="P88" i="2"/>
  <c r="N88" i="2"/>
  <c r="M88" i="2"/>
  <c r="O87" i="2"/>
  <c r="P87" i="2"/>
  <c r="N87" i="2"/>
  <c r="M87" i="2"/>
  <c r="O86" i="2"/>
  <c r="P86" i="2"/>
  <c r="N86" i="2"/>
  <c r="M86" i="2"/>
  <c r="O85" i="2"/>
  <c r="P85" i="2"/>
  <c r="N85" i="2"/>
  <c r="M85" i="2"/>
  <c r="O84" i="2"/>
  <c r="P84" i="2"/>
  <c r="N84" i="2"/>
  <c r="M84" i="2"/>
  <c r="O83" i="2"/>
  <c r="P83" i="2"/>
  <c r="N83" i="2"/>
  <c r="M83" i="2"/>
  <c r="O82" i="2"/>
  <c r="P82" i="2"/>
  <c r="N82" i="2"/>
  <c r="M82" i="2"/>
  <c r="O81" i="2"/>
  <c r="P81" i="2"/>
  <c r="N81" i="2"/>
  <c r="M81" i="2"/>
  <c r="O80" i="2"/>
  <c r="P80" i="2"/>
  <c r="N80" i="2"/>
  <c r="M80" i="2"/>
  <c r="O79" i="2"/>
  <c r="P79" i="2"/>
  <c r="N79" i="2"/>
  <c r="M79" i="2"/>
  <c r="O78" i="2"/>
  <c r="P78" i="2"/>
  <c r="N78" i="2"/>
  <c r="M78" i="2"/>
  <c r="O77" i="2"/>
  <c r="P77" i="2"/>
  <c r="N77" i="2"/>
  <c r="M77" i="2"/>
  <c r="O76" i="2"/>
  <c r="P76" i="2"/>
  <c r="N76" i="2"/>
  <c r="M76" i="2"/>
  <c r="O75" i="2"/>
  <c r="P75" i="2"/>
  <c r="N75" i="2"/>
  <c r="M75" i="2"/>
  <c r="O74" i="2"/>
  <c r="P74" i="2"/>
  <c r="N74" i="2"/>
  <c r="M74" i="2"/>
  <c r="O73" i="2"/>
  <c r="P73" i="2"/>
  <c r="N73" i="2"/>
  <c r="M73" i="2"/>
  <c r="O72" i="2"/>
  <c r="P72" i="2"/>
  <c r="N72" i="2"/>
  <c r="M72" i="2"/>
  <c r="O71" i="2"/>
  <c r="P71" i="2"/>
  <c r="N71" i="2"/>
  <c r="M71" i="2"/>
  <c r="O70" i="2"/>
  <c r="P70" i="2"/>
  <c r="N70" i="2"/>
  <c r="M70" i="2"/>
  <c r="O69" i="2"/>
  <c r="P69" i="2"/>
  <c r="N69" i="2"/>
  <c r="M69" i="2"/>
  <c r="O68" i="2"/>
  <c r="P68" i="2"/>
  <c r="N68" i="2"/>
  <c r="M68" i="2"/>
  <c r="O67" i="2"/>
  <c r="P67" i="2"/>
  <c r="N67" i="2"/>
  <c r="M67" i="2"/>
  <c r="O66" i="2"/>
  <c r="P66" i="2"/>
  <c r="N66" i="2"/>
  <c r="M66" i="2"/>
  <c r="O65" i="2"/>
  <c r="P65" i="2"/>
  <c r="N65" i="2"/>
  <c r="M65" i="2"/>
  <c r="O64" i="2"/>
  <c r="P64" i="2"/>
  <c r="N64" i="2"/>
  <c r="M64" i="2"/>
  <c r="O63" i="2"/>
  <c r="P63" i="2"/>
  <c r="N63" i="2"/>
  <c r="M63" i="2"/>
  <c r="O62" i="2"/>
  <c r="P62" i="2"/>
  <c r="N62" i="2"/>
  <c r="M62" i="2"/>
  <c r="O61" i="2"/>
  <c r="P61" i="2"/>
  <c r="N61" i="2"/>
  <c r="M61" i="2"/>
  <c r="O60" i="2"/>
  <c r="P60" i="2"/>
  <c r="N60" i="2"/>
  <c r="M60" i="2"/>
  <c r="O59" i="2"/>
  <c r="P59" i="2"/>
  <c r="N59" i="2"/>
  <c r="M59" i="2"/>
  <c r="O58" i="2"/>
  <c r="P58" i="2"/>
  <c r="N58" i="2"/>
  <c r="M58" i="2"/>
  <c r="O57" i="2"/>
  <c r="P57" i="2"/>
  <c r="N57" i="2"/>
  <c r="M57" i="2"/>
  <c r="O56" i="2"/>
  <c r="P56" i="2"/>
  <c r="N56" i="2"/>
  <c r="M56" i="2"/>
  <c r="O55" i="2"/>
  <c r="P55" i="2"/>
  <c r="N55" i="2"/>
  <c r="M55" i="2"/>
  <c r="O54" i="2"/>
  <c r="P54" i="2"/>
  <c r="N54" i="2"/>
  <c r="M54" i="2"/>
  <c r="O53" i="2"/>
  <c r="P53" i="2"/>
  <c r="N53" i="2"/>
  <c r="M53" i="2"/>
  <c r="O52" i="2"/>
  <c r="P52" i="2"/>
  <c r="N52" i="2"/>
  <c r="M52" i="2"/>
  <c r="O51" i="2"/>
  <c r="P51" i="2"/>
  <c r="N51" i="2"/>
  <c r="M51" i="2"/>
  <c r="O50" i="2"/>
  <c r="P50" i="2"/>
  <c r="N50" i="2"/>
  <c r="M50" i="2"/>
  <c r="O49" i="2"/>
  <c r="P49" i="2"/>
  <c r="N49" i="2"/>
  <c r="M49" i="2"/>
  <c r="O48" i="2"/>
  <c r="P48" i="2"/>
  <c r="N48" i="2"/>
  <c r="M48" i="2"/>
  <c r="O47" i="2"/>
  <c r="P47" i="2"/>
  <c r="N47" i="2"/>
  <c r="M47" i="2"/>
  <c r="O46" i="2"/>
  <c r="P46" i="2"/>
  <c r="N46" i="2"/>
  <c r="M46" i="2"/>
  <c r="O45" i="2"/>
  <c r="P45" i="2"/>
  <c r="N45" i="2"/>
  <c r="M45" i="2"/>
  <c r="O44" i="2"/>
  <c r="P44" i="2"/>
  <c r="N44" i="2"/>
  <c r="M44" i="2"/>
  <c r="O43" i="2"/>
  <c r="P43" i="2"/>
  <c r="N43" i="2"/>
  <c r="M43" i="2"/>
  <c r="O42" i="2"/>
  <c r="P42" i="2"/>
  <c r="N42" i="2"/>
  <c r="M42" i="2"/>
  <c r="O41" i="2"/>
  <c r="P41" i="2"/>
  <c r="N41" i="2"/>
  <c r="M41" i="2"/>
  <c r="O40" i="2"/>
  <c r="P40" i="2"/>
  <c r="N40" i="2"/>
  <c r="M40" i="2"/>
  <c r="O39" i="2"/>
  <c r="P39" i="2"/>
  <c r="N39" i="2"/>
  <c r="M39" i="2"/>
  <c r="O38" i="2"/>
  <c r="P38" i="2"/>
  <c r="N38" i="2"/>
  <c r="M38" i="2"/>
  <c r="O37" i="2"/>
  <c r="P37" i="2"/>
  <c r="N37" i="2"/>
  <c r="M37" i="2"/>
  <c r="O36" i="2"/>
  <c r="P36" i="2"/>
  <c r="N36" i="2"/>
  <c r="M36" i="2"/>
  <c r="O35" i="2"/>
  <c r="P35" i="2"/>
  <c r="N35" i="2"/>
  <c r="M35" i="2"/>
  <c r="O34" i="2"/>
  <c r="P34" i="2"/>
  <c r="N34" i="2"/>
  <c r="M34" i="2"/>
  <c r="O33" i="2"/>
  <c r="P33" i="2"/>
  <c r="N33" i="2"/>
  <c r="M33" i="2"/>
  <c r="O32" i="2"/>
  <c r="P32" i="2"/>
  <c r="N32" i="2"/>
  <c r="M32" i="2"/>
  <c r="O31" i="2"/>
  <c r="P31" i="2"/>
  <c r="N31" i="2"/>
  <c r="M31" i="2"/>
  <c r="O30" i="2"/>
  <c r="P30" i="2"/>
  <c r="N30" i="2"/>
  <c r="M30" i="2"/>
  <c r="O29" i="2"/>
  <c r="P29" i="2"/>
  <c r="N29" i="2"/>
  <c r="M29" i="2"/>
  <c r="O28" i="2"/>
  <c r="P28" i="2"/>
  <c r="N28" i="2"/>
  <c r="M28" i="2"/>
  <c r="O27" i="2"/>
  <c r="P27" i="2"/>
  <c r="N27" i="2"/>
  <c r="M27" i="2"/>
  <c r="O26" i="2"/>
  <c r="P26" i="2"/>
  <c r="N26" i="2"/>
  <c r="M26" i="2"/>
  <c r="O25" i="2"/>
  <c r="P25" i="2"/>
  <c r="N25" i="2"/>
  <c r="M25" i="2"/>
  <c r="O24" i="2"/>
  <c r="P24" i="2"/>
  <c r="N24" i="2"/>
  <c r="M24" i="2"/>
  <c r="O23" i="2"/>
  <c r="P23" i="2"/>
  <c r="N23" i="2"/>
  <c r="M23" i="2"/>
  <c r="O22" i="2"/>
  <c r="P22" i="2"/>
  <c r="N22" i="2"/>
  <c r="M22" i="2"/>
  <c r="O21" i="2"/>
  <c r="P21" i="2"/>
  <c r="N21" i="2"/>
  <c r="M21" i="2"/>
  <c r="O20" i="2"/>
  <c r="P20" i="2"/>
  <c r="N20" i="2"/>
  <c r="M20" i="2"/>
  <c r="O19" i="2"/>
  <c r="P19" i="2"/>
  <c r="N19" i="2"/>
  <c r="M19" i="2"/>
  <c r="O18" i="2"/>
  <c r="P18" i="2"/>
  <c r="N18" i="2"/>
  <c r="M18" i="2"/>
  <c r="O17" i="2"/>
  <c r="P17" i="2"/>
  <c r="N17" i="2"/>
  <c r="M17" i="2"/>
  <c r="O16" i="2"/>
  <c r="P16" i="2"/>
  <c r="N16" i="2"/>
  <c r="M16" i="2"/>
  <c r="O15" i="2"/>
  <c r="P15" i="2"/>
  <c r="N15" i="2"/>
  <c r="M15" i="2"/>
  <c r="O14" i="2"/>
  <c r="P14" i="2"/>
  <c r="N14" i="2"/>
  <c r="M14" i="2"/>
  <c r="O13" i="2"/>
  <c r="P13" i="2"/>
  <c r="N13" i="2"/>
  <c r="M13" i="2"/>
  <c r="O12" i="2"/>
  <c r="P12" i="2"/>
  <c r="N12" i="2"/>
  <c r="M12" i="2"/>
  <c r="O11" i="2"/>
  <c r="P11" i="2"/>
  <c r="N11" i="2"/>
  <c r="M11" i="2"/>
  <c r="O10" i="2"/>
  <c r="P10" i="2"/>
  <c r="N10" i="2"/>
  <c r="M10" i="2"/>
  <c r="O9" i="2"/>
  <c r="P9" i="2"/>
  <c r="N9" i="2"/>
  <c r="M9" i="2"/>
  <c r="O8" i="2"/>
  <c r="P8" i="2"/>
  <c r="N8" i="2"/>
  <c r="M8" i="2"/>
  <c r="O7" i="2"/>
  <c r="P7" i="2"/>
  <c r="N7" i="2"/>
  <c r="M7" i="2"/>
  <c r="O6" i="2"/>
  <c r="P6" i="2"/>
  <c r="N6" i="2"/>
  <c r="M6" i="2"/>
  <c r="O5" i="2"/>
  <c r="P5" i="2"/>
  <c r="N5" i="2"/>
  <c r="M5" i="2"/>
  <c r="O4" i="2"/>
  <c r="P4" i="2"/>
  <c r="N4" i="2"/>
  <c r="M4" i="2"/>
  <c r="O3" i="2"/>
  <c r="P3" i="2"/>
  <c r="N3" i="2"/>
  <c r="M3" i="2"/>
  <c r="O2" i="2"/>
  <c r="P2" i="2"/>
  <c r="N2" i="2"/>
  <c r="M2" i="2"/>
  <c r="D79" i="1"/>
  <c r="D78" i="1"/>
  <c r="D57" i="1"/>
  <c r="D16" i="1"/>
  <c r="B87" i="1"/>
  <c r="B86" i="1"/>
  <c r="B85" i="1"/>
  <c r="B83" i="1"/>
  <c r="B82" i="1"/>
  <c r="B81" i="1"/>
  <c r="B80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87" i="1"/>
  <c r="D86" i="1"/>
  <c r="D85" i="1"/>
  <c r="D83" i="1"/>
  <c r="D82" i="1"/>
  <c r="D81" i="1"/>
  <c r="D80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R110" i="2"/>
  <c r="R102" i="2"/>
  <c r="R94" i="2"/>
  <c r="R86" i="2"/>
  <c r="R78" i="2"/>
  <c r="R70" i="2"/>
  <c r="R62" i="2"/>
  <c r="R54" i="2"/>
  <c r="R46" i="2"/>
  <c r="R38" i="2"/>
  <c r="R30" i="2"/>
  <c r="R22" i="2"/>
  <c r="R14" i="2"/>
  <c r="R6" i="2"/>
  <c r="C83" i="1"/>
  <c r="C75" i="1"/>
  <c r="C67" i="1"/>
  <c r="C59" i="1"/>
  <c r="C51" i="1"/>
  <c r="C43" i="1"/>
  <c r="C35" i="1"/>
  <c r="C27" i="1"/>
  <c r="C19" i="1"/>
  <c r="C11" i="1"/>
  <c r="C3" i="1"/>
  <c r="R99" i="2"/>
  <c r="R75" i="2"/>
  <c r="R59" i="2"/>
  <c r="R43" i="2"/>
  <c r="R27" i="2"/>
  <c r="R19" i="2"/>
  <c r="R11" i="2"/>
  <c r="C56" i="1"/>
  <c r="C40" i="1"/>
  <c r="C24" i="1"/>
  <c r="C8" i="1"/>
  <c r="R98" i="2"/>
  <c r="R90" i="2"/>
  <c r="R74" i="2"/>
  <c r="R50" i="2"/>
  <c r="R42" i="2"/>
  <c r="R34" i="2"/>
  <c r="R18" i="2"/>
  <c r="R10" i="2"/>
  <c r="R117" i="2"/>
  <c r="R109" i="2"/>
  <c r="R101" i="2"/>
  <c r="R93" i="2"/>
  <c r="R85" i="2"/>
  <c r="R77" i="2"/>
  <c r="R69" i="2"/>
  <c r="R61" i="2"/>
  <c r="R53" i="2"/>
  <c r="R45" i="2"/>
  <c r="R37" i="2"/>
  <c r="R29" i="2"/>
  <c r="R21" i="2"/>
  <c r="R13" i="2"/>
  <c r="R5" i="2"/>
  <c r="C82" i="1"/>
  <c r="C74" i="1"/>
  <c r="C66" i="1"/>
  <c r="C58" i="1"/>
  <c r="C50" i="1"/>
  <c r="E50" i="1" s="1"/>
  <c r="C42" i="1"/>
  <c r="C34" i="1"/>
  <c r="C26" i="1"/>
  <c r="C18" i="1"/>
  <c r="C10" i="1"/>
  <c r="C2" i="1"/>
  <c r="C65" i="1"/>
  <c r="C57" i="1"/>
  <c r="C49" i="1"/>
  <c r="C41" i="1"/>
  <c r="C33" i="1"/>
  <c r="C25" i="1"/>
  <c r="C17" i="1"/>
  <c r="C9" i="1"/>
  <c r="R107" i="2"/>
  <c r="R83" i="2"/>
  <c r="R67" i="2"/>
  <c r="R51" i="2"/>
  <c r="R35" i="2"/>
  <c r="C64" i="1"/>
  <c r="C48" i="1"/>
  <c r="C32" i="1"/>
  <c r="C16" i="1"/>
  <c r="R26" i="2"/>
  <c r="R116" i="2"/>
  <c r="R108" i="2"/>
  <c r="R100" i="2"/>
  <c r="R92" i="2"/>
  <c r="R84" i="2"/>
  <c r="R76" i="2"/>
  <c r="R68" i="2"/>
  <c r="R60" i="2"/>
  <c r="R52" i="2"/>
  <c r="R44" i="2"/>
  <c r="R36" i="2"/>
  <c r="R28" i="2"/>
  <c r="R20" i="2"/>
  <c r="R12" i="2"/>
  <c r="R4" i="2"/>
  <c r="C81" i="1"/>
  <c r="C73" i="1"/>
  <c r="E73" i="1" s="1"/>
  <c r="R91" i="2"/>
  <c r="R66" i="2"/>
  <c r="R115" i="2"/>
  <c r="R3" i="2"/>
  <c r="C80" i="1"/>
  <c r="C72" i="1"/>
  <c r="R106" i="2"/>
  <c r="R82" i="2"/>
  <c r="R58" i="2"/>
  <c r="R2" i="2"/>
  <c r="C87" i="1"/>
  <c r="C63" i="1"/>
  <c r="C15" i="1"/>
  <c r="R114" i="2"/>
  <c r="R113" i="2"/>
  <c r="R105" i="2"/>
  <c r="R97" i="2"/>
  <c r="R89" i="2"/>
  <c r="R81" i="2"/>
  <c r="R73" i="2"/>
  <c r="R65" i="2"/>
  <c r="R57" i="2"/>
  <c r="R49" i="2"/>
  <c r="R41" i="2"/>
  <c r="R33" i="2"/>
  <c r="R25" i="2"/>
  <c r="R17" i="2"/>
  <c r="R9" i="2"/>
  <c r="B57" i="1"/>
  <c r="C86" i="1"/>
  <c r="C78" i="1"/>
  <c r="C70" i="1"/>
  <c r="C62" i="1"/>
  <c r="C54" i="1"/>
  <c r="C46" i="1"/>
  <c r="C38" i="1"/>
  <c r="C30" i="1"/>
  <c r="C22" i="1"/>
  <c r="C14" i="1"/>
  <c r="C6" i="1"/>
  <c r="R8" i="2"/>
  <c r="C77" i="1"/>
  <c r="C69" i="1"/>
  <c r="C53" i="1"/>
  <c r="C37" i="1"/>
  <c r="C21" i="1"/>
  <c r="C5" i="1"/>
  <c r="C4" i="1"/>
  <c r="C71" i="1"/>
  <c r="C47" i="1"/>
  <c r="C31" i="1"/>
  <c r="C7" i="1"/>
  <c r="R112" i="2"/>
  <c r="R104" i="2"/>
  <c r="R96" i="2"/>
  <c r="R88" i="2"/>
  <c r="R80" i="2"/>
  <c r="R72" i="2"/>
  <c r="R64" i="2"/>
  <c r="R56" i="2"/>
  <c r="R48" i="2"/>
  <c r="R40" i="2"/>
  <c r="R32" i="2"/>
  <c r="R24" i="2"/>
  <c r="R16" i="2"/>
  <c r="B16" i="1"/>
  <c r="C85" i="1"/>
  <c r="C61" i="1"/>
  <c r="C45" i="1"/>
  <c r="C29" i="1"/>
  <c r="C13" i="1"/>
  <c r="C20" i="1"/>
  <c r="C12" i="1"/>
  <c r="C79" i="1"/>
  <c r="C55" i="1"/>
  <c r="R111" i="2"/>
  <c r="R103" i="2"/>
  <c r="R95" i="2"/>
  <c r="R87" i="2"/>
  <c r="R79" i="2"/>
  <c r="R71" i="2"/>
  <c r="R63" i="2"/>
  <c r="R55" i="2"/>
  <c r="R47" i="2"/>
  <c r="R39" i="2"/>
  <c r="R31" i="2"/>
  <c r="R23" i="2"/>
  <c r="R15" i="2"/>
  <c r="R7" i="2"/>
  <c r="E84" i="1"/>
  <c r="C76" i="1"/>
  <c r="C68" i="1"/>
  <c r="E68" i="1" s="1"/>
  <c r="C60" i="1"/>
  <c r="C52" i="1"/>
  <c r="C44" i="1"/>
  <c r="C36" i="1"/>
  <c r="C28" i="1"/>
  <c r="C39" i="1"/>
  <c r="C23" i="1"/>
  <c r="E3" i="1" l="1"/>
  <c r="E11" i="1"/>
  <c r="E20" i="1"/>
  <c r="E28" i="1"/>
  <c r="E36" i="1"/>
  <c r="E44" i="1"/>
  <c r="E52" i="1"/>
  <c r="E61" i="1"/>
  <c r="E69" i="1"/>
  <c r="E77" i="1"/>
  <c r="E4" i="1"/>
  <c r="E12" i="1"/>
  <c r="E21" i="1"/>
  <c r="E29" i="1"/>
  <c r="E37" i="1"/>
  <c r="E45" i="1"/>
  <c r="E53" i="1"/>
  <c r="E62" i="1"/>
  <c r="E70" i="1"/>
  <c r="E80" i="1"/>
  <c r="E16" i="1"/>
  <c r="E5" i="1"/>
  <c r="E13" i="1"/>
  <c r="E22" i="1"/>
  <c r="E30" i="1"/>
  <c r="E38" i="1"/>
  <c r="E46" i="1"/>
  <c r="E54" i="1"/>
  <c r="E63" i="1"/>
  <c r="E71" i="1"/>
  <c r="E81" i="1"/>
  <c r="E57" i="1"/>
  <c r="E6" i="1"/>
  <c r="E14" i="1"/>
  <c r="E23" i="1"/>
  <c r="E31" i="1"/>
  <c r="E39" i="1"/>
  <c r="E47" i="1"/>
  <c r="E55" i="1"/>
  <c r="E64" i="1"/>
  <c r="E72" i="1"/>
  <c r="E82" i="1"/>
  <c r="E78" i="1"/>
  <c r="E7" i="1"/>
  <c r="E15" i="1"/>
  <c r="E24" i="1"/>
  <c r="E32" i="1"/>
  <c r="E40" i="1"/>
  <c r="E48" i="1"/>
  <c r="E56" i="1"/>
  <c r="E65" i="1"/>
  <c r="E83" i="1"/>
  <c r="E79" i="1"/>
  <c r="E8" i="1"/>
  <c r="E17" i="1"/>
  <c r="E25" i="1"/>
  <c r="E33" i="1"/>
  <c r="E41" i="1"/>
  <c r="E49" i="1"/>
  <c r="E58" i="1"/>
  <c r="E66" i="1"/>
  <c r="E74" i="1"/>
  <c r="E85" i="1"/>
  <c r="E9" i="1"/>
  <c r="E18" i="1"/>
  <c r="E26" i="1"/>
  <c r="E34" i="1"/>
  <c r="E42" i="1"/>
  <c r="E59" i="1"/>
  <c r="E67" i="1"/>
  <c r="E75" i="1"/>
  <c r="E86" i="1"/>
  <c r="E2" i="1"/>
  <c r="E10" i="1"/>
  <c r="E19" i="1"/>
  <c r="E27" i="1"/>
  <c r="E35" i="1"/>
  <c r="E43" i="1"/>
  <c r="E51" i="1"/>
  <c r="E60" i="1"/>
  <c r="E76" i="1"/>
  <c r="E8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<sst xmlns="http://schemas.openxmlformats.org/spreadsheetml/2006/main" count="3684" uniqueCount="524">
  <si>
    <t>PN</t>
  </si>
  <si>
    <t>Descrição</t>
  </si>
  <si>
    <t>2025 Distri</t>
  </si>
  <si>
    <t>2026 Distri</t>
  </si>
  <si>
    <t>932AD161100M33</t>
  </si>
  <si>
    <t>921LD020700733</t>
  </si>
  <si>
    <t>931FL104900L33</t>
  </si>
  <si>
    <t>CX REG SIRIUS PC 15.6" J6412 8/128GB</t>
  </si>
  <si>
    <t>921LB660400733</t>
  </si>
  <si>
    <t>CX REG SIRIUS 15.6" J6412 8+128 GB WIN IOT BRA</t>
  </si>
  <si>
    <t>931FL105000L33</t>
  </si>
  <si>
    <t>921LB660600733</t>
  </si>
  <si>
    <t>CX REG SIRIUS 15.6" + 11.6" J6412 8+128 GB NO TOUCH WIN IOT BRA</t>
  </si>
  <si>
    <t>931FL105100L33</t>
  </si>
  <si>
    <t>921LB660800733</t>
  </si>
  <si>
    <t>CX REG SIRIUS 15.6" + 11.6" PCAP J6412 8+128 GB TOUCH WIN IOT BRA</t>
  </si>
  <si>
    <t>921LB661700233</t>
  </si>
  <si>
    <t>931FL102900L33</t>
  </si>
  <si>
    <t>931FL106000L33</t>
  </si>
  <si>
    <t>921LB660100733</t>
  </si>
  <si>
    <t>CX REG VEGA 11.6 J6412 4+128 GB WIN IOT BRA</t>
  </si>
  <si>
    <t>931FL103000L33</t>
  </si>
  <si>
    <t> CX REG ANTARES PC 15.6"+11.6" J6412 4/128GB IMP TER 80MM</t>
  </si>
  <si>
    <t>921LB660200733</t>
  </si>
  <si>
    <t>CX REG ANTARES 15.6 J6412 4+128 GB WIN IOT BRA</t>
  </si>
  <si>
    <t>932AD150300M33</t>
  </si>
  <si>
    <t>932AD150700M33</t>
  </si>
  <si>
    <t>DESCRIÇÃO</t>
  </si>
  <si>
    <t>PPB</t>
  </si>
  <si>
    <t>GARANTIA</t>
  </si>
  <si>
    <t>IPI</t>
  </si>
  <si>
    <t>DISTRI</t>
  </si>
  <si>
    <t>1 - 5</t>
  </si>
  <si>
    <t>6 - 10</t>
  </si>
  <si>
    <t>10+</t>
  </si>
  <si>
    <t>921LB660500733</t>
  </si>
  <si>
    <t>921LB660700733</t>
  </si>
  <si>
    <t>931FL103300L33</t>
  </si>
  <si>
    <t>931FL105200L33</t>
  </si>
  <si>
    <t>921LB661800733</t>
  </si>
  <si>
    <t>921LB661100733</t>
  </si>
  <si>
    <t>931FL104600L33</t>
  </si>
  <si>
    <t>921LB661200733</t>
  </si>
  <si>
    <t>921LB662300733</t>
  </si>
  <si>
    <t>921LB661900733</t>
  </si>
  <si>
    <t>935FL103400L33</t>
  </si>
  <si>
    <t>921LB662400733</t>
  </si>
  <si>
    <t>935FL103500L33</t>
  </si>
  <si>
    <t>921LB662200733</t>
  </si>
  <si>
    <t>921LB662800733</t>
  </si>
  <si>
    <t>921LB660100L33</t>
  </si>
  <si>
    <t>921LB662000733</t>
  </si>
  <si>
    <t>08GB S/ PEDESTAL</t>
  </si>
  <si>
    <t>16GB S/ PEDESTAL</t>
  </si>
  <si>
    <t>16GB C/ PEDESTAL</t>
  </si>
  <si>
    <t>935KY432500L33</t>
  </si>
  <si>
    <t>921LB662700733</t>
  </si>
  <si>
    <t>921LB662100733</t>
  </si>
  <si>
    <t>935KY432400L33</t>
  </si>
  <si>
    <t>931FL103100L33</t>
  </si>
  <si>
    <t>931FL103100L34</t>
  </si>
  <si>
    <t>921LB662600733</t>
  </si>
  <si>
    <t>935RE010100L33</t>
  </si>
  <si>
    <t>935RE010200L33</t>
  </si>
  <si>
    <t>935RE010300L33</t>
  </si>
  <si>
    <t>935RE010400L33</t>
  </si>
  <si>
    <t>935RE010500L33</t>
  </si>
  <si>
    <t>935RE010600L33</t>
  </si>
  <si>
    <t>911MX010400733</t>
  </si>
  <si>
    <t> 911MK010200233</t>
  </si>
  <si>
    <t>979MK020000001</t>
  </si>
  <si>
    <t>911LB640200J33</t>
  </si>
  <si>
    <t>995ED040700333</t>
  </si>
  <si>
    <t>995ED040800333</t>
  </si>
  <si>
    <t>992ED040700233</t>
  </si>
  <si>
    <t>995ED049900300</t>
  </si>
  <si>
    <t>992ED040500233</t>
  </si>
  <si>
    <t>915DX012000300</t>
  </si>
  <si>
    <t>915DX012100300</t>
  </si>
  <si>
    <t>915DX012200300</t>
  </si>
  <si>
    <t>915DX010200J00</t>
  </si>
  <si>
    <t>915DX012300300</t>
  </si>
  <si>
    <t> 915CH020300300</t>
  </si>
  <si>
    <t> 915LC011600300</t>
  </si>
  <si>
    <t> 976LC010000008</t>
  </si>
  <si>
    <t>915LF010800300</t>
  </si>
  <si>
    <t>915LF020600300</t>
  </si>
  <si>
    <t>915AS020600300</t>
  </si>
  <si>
    <t>915AH020300700</t>
  </si>
  <si>
    <t>915KV011400300</t>
  </si>
  <si>
    <t>915AF010900133</t>
  </si>
  <si>
    <t>974CW010000315</t>
  </si>
  <si>
    <t>915NB010300333</t>
  </si>
  <si>
    <t>915NB010200333</t>
  </si>
  <si>
    <t>915NB020200333</t>
  </si>
  <si>
    <t> 915CW180500322</t>
  </si>
  <si>
    <t> 9C3FH010000002</t>
  </si>
  <si>
    <t>9C1FH016800010</t>
  </si>
  <si>
    <t>9C1FH016800020</t>
  </si>
  <si>
    <t>26500000000165</t>
  </si>
  <si>
    <t>992ED040600233</t>
  </si>
  <si>
    <t>26500000000172</t>
  </si>
  <si>
    <t>976ZZ010000347</t>
  </si>
  <si>
    <t>932AD180100M33</t>
  </si>
  <si>
    <t>932AD180200M33</t>
  </si>
  <si>
    <t>932AD150100M33</t>
  </si>
  <si>
    <t>932AD150900M33</t>
  </si>
  <si>
    <t>932AD151100M33</t>
  </si>
  <si>
    <t>932AD060600M33</t>
  </si>
  <si>
    <t>932AD160600M33</t>
  </si>
  <si>
    <t>932AD072700M33</t>
  </si>
  <si>
    <t>932AD170300M33</t>
  </si>
  <si>
    <t>932AD130900L00</t>
  </si>
  <si>
    <t>932AD190300L00</t>
  </si>
  <si>
    <t>932AD200300M33</t>
  </si>
  <si>
    <t>932AD100700L00</t>
  </si>
  <si>
    <t>932AD210200L33</t>
  </si>
  <si>
    <t>GCT121N12001X1</t>
  </si>
  <si>
    <t>932AD150500M33</t>
  </si>
  <si>
    <t>932AD150600M33</t>
  </si>
  <si>
    <t>932AD062600L33</t>
  </si>
  <si>
    <t>932AD160900M33</t>
  </si>
  <si>
    <t>932AD170500M33</t>
  </si>
  <si>
    <t>974AD030000001</t>
  </si>
  <si>
    <t>974AD060000002</t>
  </si>
  <si>
    <t>MON LCD LITE 10.1 VGA/HDMI LOGO CBR BRA</t>
  </si>
  <si>
    <t>Não</t>
  </si>
  <si>
    <t>1 ano</t>
  </si>
  <si>
    <t>MON LCD PCAP LITE 10.1 VGA/HDMI LOGO CBR BRA</t>
  </si>
  <si>
    <t>MON LCD PCAP LITE 15.6 VGA/HDMI LOGO CBR BRA</t>
  </si>
  <si>
    <t> NPDV FUSION PC 10.1 CX REG 2TPCAP IMP ETH PR DISP.CLI BRA *</t>
  </si>
  <si>
    <t>3 anos</t>
  </si>
  <si>
    <t>CX REG SIRIUS 15.6 + 15.6 J6412 8/128 GB WIN IOT BRA</t>
  </si>
  <si>
    <t>CX REG SIRIUS 15.6 + 15.6 PCAP J6412 8/128 GB WIN IOT BRA</t>
  </si>
  <si>
    <t>CX REG SIRIUS PC 15.6" PCAP + 15.6" J6412 8/128GB</t>
  </si>
  <si>
    <t>CX REG SIRIUS PC 15.6" J6412 8/128GB (limitado a 212 pç)</t>
  </si>
  <si>
    <t>CX REG SIRIUS PC 15.6" J6412 8/128GB +11.6" NO TOUCH</t>
  </si>
  <si>
    <t>CX REG SIRIUS PC 15.6" J6412 8/128GB +11.6" TOUCH</t>
  </si>
  <si>
    <t>CX REG SIRIUS PC 15.6" J6412 8/128GB +15.6" TOUCH</t>
  </si>
  <si>
    <t>CX REG VEGA 11.6 J6412 8+128 GB</t>
  </si>
  <si>
    <t>CX REG VEGA PC 11.6" J6412 4/128GB IMP TER 80MM + ALTO-FALANTE</t>
  </si>
  <si>
    <t>CX REG VEGA PC 11.6" J6412 8/128GB WIN PRO IMP TER 80MM</t>
  </si>
  <si>
    <t>CX REG ANTARES PC 15.6"+11.6" J6412 8/128GB IMP TER 80MM</t>
  </si>
  <si>
    <t>CX REG SIRIUS PC 15.6" + 11.6" PCAP I3 10TH 8/128GB</t>
  </si>
  <si>
    <t>CX REG VEGA PC 11.6" I3-12TH 8/128GB IMP TER 80MM BRA</t>
  </si>
  <si>
    <t>CX REG VEGA 11.6 I3 10TH 8+128GB WIN PRO BRA (47 pç)</t>
  </si>
  <si>
    <t>CX REG VEGA 11.6 I3 12TH 8+128GB WIN PRO BRA</t>
  </si>
  <si>
    <t>CX REG SIRIUS PC 15.6" I5 12TH + 11.6 PCAP + WIFI</t>
  </si>
  <si>
    <t>CX REG SIRIUS PC 15.6" + 11.6 PCAP I5 12TH 8/256GB WIN PRO</t>
  </si>
  <si>
    <t>CX REG SIRIUS PC 15.6" I5 12TH 8/256GB</t>
  </si>
  <si>
    <t>CX REG SIRIUS PC 15.6" I5-12TH 8/256GB +11.6" NO TOUCH</t>
  </si>
  <si>
    <t>CX REG SIRIUS 15.6 PCAP I5 8USB WIFI+BT BRA 12TH 16/256GB (limitado a 400 pç)</t>
  </si>
  <si>
    <t>CX REG SIRIUS 15.6 PCAP I5 8USB WIFI+BT BRA 12TH 16/256GB</t>
  </si>
  <si>
    <t>CX REG SIRIUS PC 15.6" I5 -12TH 8/256GB +11.6" TOUCH</t>
  </si>
  <si>
    <t>CX REG SIRIUS PC 15.6" PCAP I5 12TH 8/256GB WIN PRO</t>
  </si>
  <si>
    <t>CX REG SIRIUS 15.6 PCAP I5 7USB WIFI+BT BRA</t>
  </si>
  <si>
    <t>CX REG SIRIUS 15.6"+15.6" PCAP I5 12TH 8/256 WIFI</t>
  </si>
  <si>
    <t>CX REG SIRIUS 15.6 PCAP I5 12TH 8/256GB WIFI - SEM PEDESTAL</t>
  </si>
  <si>
    <t>CX REG SIRIUS 15.6 PCAP I5 12TH 16/256GB WIFI - SEM PEDESTAL</t>
  </si>
  <si>
    <t>CX REG SIRIUS 15.6"+15.6" PCAP I5 12TH 16/256 WIFI</t>
  </si>
  <si>
    <t>SIRIUS AND - RK3568 2GB/16GB 15.6" PCAP</t>
  </si>
  <si>
    <t>CX REG SIRIUS AND 15.6"+11.6" PCAP 2/32 GB BRA</t>
  </si>
  <si>
    <t>CX REG SIRIUS AND 15.6" + 11.6" 2/16GB</t>
  </si>
  <si>
    <t>CX REG VEGA AND 11 11.6" RK3568 4/16 GB IMP TER 80MM</t>
  </si>
  <si>
    <t>CX REG VEGA AND 11 11.6" RK3568 2/16 GB IMP TER 80MM (75 pç)</t>
  </si>
  <si>
    <t>CX REG ANTARES AND 11 15.6"+11.6" RK3568 2/32GB IMP TER 80MM (8 pç)</t>
  </si>
  <si>
    <t>CX REG ANTARES AND 11 15.6"+11.6" RK3568 4/32GB IMP TER 80MM</t>
  </si>
  <si>
    <t>4 anos</t>
  </si>
  <si>
    <t>CX REG SIRIUS PC 15.6" N97 8/128GB</t>
  </si>
  <si>
    <t>ORION 21.5"J6412 - RAM 8GB -  SSD 128GB</t>
  </si>
  <si>
    <t/>
  </si>
  <si>
    <t>ORION 23.8"J6412 - RAM 8GB -  SSD 128GB</t>
  </si>
  <si>
    <t>ORION 27"J6412 - RAM 8GB -  SSD 128GB</t>
  </si>
  <si>
    <t>ORION 21.5" I5 12gen - RAM 8GB -  SSD 128GB</t>
  </si>
  <si>
    <t>ORION 23.8" I5 12gen - RAM 8GB -  SSD 128GB</t>
  </si>
  <si>
    <t>ORION 27" I5 12gen - RAM 8GB -  SSD 128GB</t>
  </si>
  <si>
    <t>LICENÇA WIN</t>
  </si>
  <si>
    <t>LICENÇA WIN IOT X PCPOS (CELERON)</t>
  </si>
  <si>
    <t>Windows 11 PRO</t>
  </si>
  <si>
    <t>Windows 11 PRO COEM (FQC-10520) (I3 - I5)</t>
  </si>
  <si>
    <t>IMP TERM P3L 80MM USB ETH RS232 BRA</t>
  </si>
  <si>
    <t> IMP TERM ETQ D4 102 PRETA USB BRA</t>
  </si>
  <si>
    <t>Placa ETH D4</t>
  </si>
  <si>
    <t>IMP ETIQUETAS CB425-LP</t>
  </si>
  <si>
    <t> LEITOR CODIGO BARRAS 2D SR500NM USB STND</t>
  </si>
  <si>
    <t>LEITOR CODIGO BARRAS 2D SM600U USB BRA</t>
  </si>
  <si>
    <t>LEITOR DE CODIGO DE BARRAS CBR2D-V USB</t>
  </si>
  <si>
    <t>LEITOR DE CODIGO DE BARRAS CBR2D-V USB/SERIAL</t>
  </si>
  <si>
    <t>LEITOR DE CODIGO DE BARRAS CBR2D-P COM PEDESTAL USB</t>
  </si>
  <si>
    <t>VKP80III IMPRESSORA TERMICA RX65 USB RS232 REAR+HOLDER+ACES BRA(NOVA)</t>
  </si>
  <si>
    <t>Sim</t>
  </si>
  <si>
    <t>VKP80III IMPRESSORA TERMICA RX65 USB RS232 REAR (NOVA)</t>
  </si>
  <si>
    <t>VKP80III IMPRESSORA TERMICA RX65 USB RS232 REAR+HOLDER BRA (NOVA)</t>
  </si>
  <si>
    <t>IMP TERM VKP80III ETH CB ETH/U LAT BR</t>
  </si>
  <si>
    <t>IMP TERM VKP80III RX65 CB SER/USB/AC FONTE BRA</t>
  </si>
  <si>
    <t> TG 2480H (3) IMP TERM USB FONTE CABO AC/SERIAL BRA</t>
  </si>
  <si>
    <t> K80 IMP TERM USB FONTE CABO AC/SERIAL BRA</t>
  </si>
  <si>
    <t> K80-F IMP TERM 80MM OF NPE PE FON USB PMB</t>
  </si>
  <si>
    <t>IMPRESSORA MODUS 3 (BICO E SENSOR)</t>
  </si>
  <si>
    <t>IMP TERMICA MODUS X USB RS232+ACESS+BICO+NPE BRA</t>
  </si>
  <si>
    <t>IMP TERM KPM216HIII SER/USB/AC FONTE BRA</t>
  </si>
  <si>
    <t>IMP TERM KPM180H GUILHOTINA+PRESENTER</t>
  </si>
  <si>
    <t>IMP TERM TPTCM112III 112MM 200DPI C/ CABO USB+NPE+FONTE</t>
  </si>
  <si>
    <t> IMP IMPAC FH190 40COL RS232 RTCK BRA</t>
  </si>
  <si>
    <t>ADAPTADOR PLASTICO PARA IMP TER PLUS2 112X112 MM</t>
  </si>
  <si>
    <t>IMP TERM PM2 4-7.5V C KIT CABOS BRA</t>
  </si>
  <si>
    <t>IMP TERM PM2 4-7.5 V C KIT CABOS RS232 BRA</t>
  </si>
  <si>
    <t>IMP TERM PM2 MINI 4.7-5V C KIT CABOS RS232 BRA</t>
  </si>
  <si>
    <t>IMP TERM PLUS2 RX65 4-7.5V CAB</t>
  </si>
  <si>
    <t> LEITOR COD BARRAS 2D USB KBR2D-C CASE</t>
  </si>
  <si>
    <t> LEITOR COD BARRAS 2D USB CBR2D-C CASE</t>
  </si>
  <si>
    <t>LEITOR DE CODIGO DE BARRAS CBR2D-C USB/SERIAL</t>
  </si>
  <si>
    <t> CABO SERIAL DB9/RJ45 PARA LEITOR CBR2D-C 2M</t>
  </si>
  <si>
    <t>N/A</t>
  </si>
  <si>
    <t>LEITOR DE CODIGO DE BARRAS CBR2D-T USB</t>
  </si>
  <si>
    <t>CABO SERIAL DB9/RJ45 PARA LEITOR CBR2D-T 2M</t>
  </si>
  <si>
    <t>CABO SERIAL DB9/RJ45 PARA LEITOR CBR2D-V 2M</t>
  </si>
  <si>
    <t>CTM-0700 OF MONITOR DE VIDEO 7" COM TOUCH PCAP</t>
  </si>
  <si>
    <t>CTM-0700 OF MONITOR DE VIDEO 7" NO TOUCH PCAP</t>
  </si>
  <si>
    <t>CTM-1010 OF MONITOR DE VIDEO 10.1" COM TOUCH PCAP</t>
  </si>
  <si>
    <t>CTM-1010 OF MONITOR DE VIDEO 10.1" NO TOUCH</t>
  </si>
  <si>
    <t>CTM-1500 OF MONITOR DE VIDEO 15" COM TOUCH PCAP</t>
  </si>
  <si>
    <t>CTM-1560 OF MONITOR DE VIDEO 15.6" COM TOUCH PCAP</t>
  </si>
  <si>
    <t>CTM-1700 OF MONITOR DE VIDEO 17" COM TOUCH PCAP</t>
  </si>
  <si>
    <t>CTM-1850 OF MONITOR DE VIDEO 18.5" COM TOUCH PCAP</t>
  </si>
  <si>
    <t>CTM-2150 OF MONITOR DE VIDEO 21.5" COM TOUCH PCAP</t>
  </si>
  <si>
    <t>CTM-2380 OF MONITOR DE VIDEO 23.8" COM TOUCH PCAP</t>
  </si>
  <si>
    <t>CTM-2700 OF MONITOR DE VIDEO 27" COM TOUCH PCAP</t>
  </si>
  <si>
    <t>CTM-3200 OF MONITOR DE VIDEO 32" COM TOUCH PCAP</t>
  </si>
  <si>
    <t>CTM-5500 OF MONITOR DE VIDEO 55" COM TOUCH PCAP</t>
  </si>
  <si>
    <t>NITS-121CP CONJUNTO CONTROLADORA E TST PCAP USB (Maritimo)</t>
  </si>
  <si>
    <t>NITS-121CP CONJUNTO CONTROLADORA E TST PCAP USB (Aereo)</t>
  </si>
  <si>
    <t>CTM-0700 OF MONITOR DE VIDEO 7" COM TOUCH PCAP + PEDESTAL</t>
  </si>
  <si>
    <t>CTM-0700 OF MONITOR DE VIDEO 7" NO TOUCH PCAP + PEDESTAL</t>
  </si>
  <si>
    <t>CTM-1010 OF MONITOR DE VIDEO 10.1" COM TOUCH PCAP + PEDESTAL</t>
  </si>
  <si>
    <t>CTM-1010 OF MONITOR DE VIDEO 10.1" NO TOUCH PCAP + PEDESTAL</t>
  </si>
  <si>
    <t>CTM-1500 OF MONITOR DE VIDEO 15" COM TOUCH PCAP + PEDESTAL</t>
  </si>
  <si>
    <t>CTM-1560 OF MONITOR DE VIDEO 15.6" COM TOUCH PCAP + PEDESTAL</t>
  </si>
  <si>
    <t>CTM-1700 OF MONITOR DE VIDEO 17" COM TOUCH PCAP + PEDESTAL</t>
  </si>
  <si>
    <t>CTM-1850 OF MONITOR DE VIDEO 18.5" COM TOUCH PCAP + PEDESTAL</t>
  </si>
  <si>
    <t>PEDESTAL ARTICULADO PARA MONITOR 7", 10.1" E 15.6 LITE</t>
  </si>
  <si>
    <t>PEDESTAL ARTICULADO PARA MONITOR CTM DE 15" A 18.5"</t>
  </si>
  <si>
    <t>921LB662500733</t>
  </si>
  <si>
    <t>921LB661000733</t>
  </si>
  <si>
    <t>MOEDA</t>
  </si>
  <si>
    <t>ESPECIAL</t>
  </si>
  <si>
    <t>SHOWROOM</t>
  </si>
  <si>
    <t>931FL104700L33</t>
  </si>
  <si>
    <t>935FL103300L33</t>
  </si>
  <si>
    <t>921LB661600733</t>
  </si>
  <si>
    <t>921LB661400733</t>
  </si>
  <si>
    <t>921LB661500733</t>
  </si>
  <si>
    <t>915CH020300300</t>
  </si>
  <si>
    <t>915LC011600300</t>
  </si>
  <si>
    <t>976LC010000008</t>
  </si>
  <si>
    <t>915KV011200300</t>
  </si>
  <si>
    <t>915KV011300300</t>
  </si>
  <si>
    <t>915GJ010100322</t>
  </si>
  <si>
    <t>9C3FH010000002</t>
  </si>
  <si>
    <t>932AD150400M33</t>
  </si>
  <si>
    <t>PICMPMN12011X1</t>
  </si>
  <si>
    <t>911MH010500733</t>
  </si>
  <si>
    <t>GPS080N12002X3</t>
  </si>
  <si>
    <t>GPS080N12013X3</t>
  </si>
  <si>
    <t>935KY180300L33</t>
  </si>
  <si>
    <t>935KY180400L33</t>
  </si>
  <si>
    <t>935KY180500L33</t>
  </si>
  <si>
    <t>911MK010200233</t>
  </si>
  <si>
    <t>915AF010600133</t>
  </si>
  <si>
    <t>915AF011000133</t>
  </si>
  <si>
    <t>995ED040600333</t>
  </si>
  <si>
    <t>994ED030300233</t>
  </si>
  <si>
    <t>921LD020900733</t>
  </si>
  <si>
    <t>932AD16017GM33</t>
  </si>
  <si>
    <t>932AD17017GM33</t>
  </si>
  <si>
    <t>931FL102800L33</t>
  </si>
  <si>
    <t>921LB660300733</t>
  </si>
  <si>
    <t>915LF010400300</t>
  </si>
  <si>
    <t>915CW170400333</t>
  </si>
  <si>
    <t>915CW180500322</t>
  </si>
  <si>
    <t>915CW180600322</t>
  </si>
  <si>
    <t>MON LCD PCAP LITE 15.6 VGA/HDMI LOGO CBR BRA (new)</t>
  </si>
  <si>
    <t>CX REG Sirius PC J6412 2 Telas 15.6" + 11.6" W. IoT 8/128 GB NO TOUCH</t>
  </si>
  <si>
    <t>CX REG Sirius PC J6412 15.6" + 11.6" W. IoT 8/128 GB TOUCH</t>
  </si>
  <si>
    <t>CX REG SIRIUS PC 15.6" I3-10110U 8/128GB BRA</t>
  </si>
  <si>
    <t>CX REG SIRIUS PC 15.6" I3-10110U 8/128GB BRA +11.6" TOUCH</t>
  </si>
  <si>
    <t>CX REG SIRIUS PC 15.6" I3-10110U 8/128GB WIN PRO BRA</t>
  </si>
  <si>
    <t>CX REG SIRIUS PC 15.6" I5 10TH 8/256GB WIN PRO BRA</t>
  </si>
  <si>
    <t>CX REG SIRIUS PC 15.6" + 11.6 TOUCH I5 10TH 8/256GB WIN PRO</t>
  </si>
  <si>
    <t>CX REG VEGA PC 11.6" J6412 4/128GB IMP TER 80MM</t>
  </si>
  <si>
    <t>CX REG VEGA PC 11.6" J6412 4/128GB WIN IOT IMP TER 80MM</t>
  </si>
  <si>
    <t>CX REG VEGA AND 11 11.6" RK3568 2/16 GB IMP TER 80MM</t>
  </si>
  <si>
    <t>CX REG ANTARES PC 15.6"+11.6" J6412 4/128GB IMP TER 80MM</t>
  </si>
  <si>
    <t>CX REG Antares PC J6412 15.6" + 11.6" W. IoT 8/128 GB</t>
  </si>
  <si>
    <t>CX REG ANTARES AND 11 15.6"+11.6" RK3568 2/16 GB IMP TER 80MM</t>
  </si>
  <si>
    <t>PRINTER P3L 80MM ETH USB RS232 BRA</t>
  </si>
  <si>
    <t>CBR2D-V (fixo) LEITOR FIXO DESKTOP VERTICAL</t>
  </si>
  <si>
    <t>CBR2D-P (+ suporte) LEITOR 2D PISTOLA COM SUPORTE</t>
  </si>
  <si>
    <t>IMP TERM PLUS4</t>
  </si>
  <si>
    <t>LEITOR COD BARRAS 2D USB CBR2D-C CASE</t>
  </si>
  <si>
    <t>CABO SERIAL DB9/RJ45 PARA LEITOR CBR2D-C 2M</t>
  </si>
  <si>
    <t>LEITOR COD BARRAS 2D USB CBR2D-C USB/SERIAL</t>
  </si>
  <si>
    <t>CM-0700 OF MONITOR DE VIDEO 7" SEM TOUCH</t>
  </si>
  <si>
    <t>CTM-1010 MONITOR VIDEO 10.1" PCAP S/PEDESTAL LOGO CUSTOM</t>
  </si>
  <si>
    <t>CTM-1010 OF MONITOR DE VIDEO 10.1" SEM TOUCH SEM PEDESTAL LOGO CUSTOM</t>
  </si>
  <si>
    <t>CTM-1010 OF MONITOR DE VIDEO 10.1" HB NO TOUCH</t>
  </si>
  <si>
    <t>PCAP OPEN FRAME MONITOR 21.5 INCHES BRA</t>
  </si>
  <si>
    <t>PCAP OPEN FRAME MONITOR 23.8 INCHES BRA</t>
  </si>
  <si>
    <t>PCAP OPEN FRAME MONITOR 32 INCHES BRA</t>
  </si>
  <si>
    <t>CTM-0700 OF MONITOR DE VIDEO 7" SEM TOUCH + PEDESTAL</t>
  </si>
  <si>
    <t>CTM-1010 MONITOR DE VIDEO 10.1" PCAP E PEDESTAL</t>
  </si>
  <si>
    <t>CTM-1010 MONITOR DE VIDEO 10.1" SEM TOUCH E PEDESTAL</t>
  </si>
  <si>
    <t>CTM-1560 OF MONITOR DE VIDEO 15.6" PCAP COM PEDESTAL</t>
  </si>
  <si>
    <t>CTM-1850 OF MONITOR DE VIDEO 18.5" PCAP COM PEDESTAL</t>
  </si>
  <si>
    <t>CTM-2380 OF MONITOR DE VIDEO 23,8" PCAP COM PEDESTAL</t>
  </si>
  <si>
    <t>PEDESTAL MET MONIT 15.6 VERSAO ARTICULADO</t>
  </si>
  <si>
    <t>IMP TERM P3 ETH USB RS232 PRETA BRA</t>
  </si>
  <si>
    <t>ISM 0820S - MONITOR DESK 8 VGA</t>
  </si>
  <si>
    <t>ISM 0820S-MONITOR DESK 8 VGA /TST R5</t>
  </si>
  <si>
    <t>NPDV SILK 15.6 CX REG 2TPCAP ANDR PR BRA</t>
  </si>
  <si>
    <t>NPDV SILK PC 15 CX REG 2TPCAP PR BRA</t>
  </si>
  <si>
    <t>NPDV SILK PC 15 2TPCAP + 9.7 SEG MON BRA</t>
  </si>
  <si>
    <t>IMP TERM ETQ D4 102 PRETA USB BRA</t>
  </si>
  <si>
    <t>MON LCD LITE 10.1 COM PEDESTAL VGA/HDMI LOGO CBR BRA</t>
  </si>
  <si>
    <t>MON LCD PCAP LITE 10.1 COM  PEDESTAL VGA/HDMI LOGO CBR BRA</t>
  </si>
  <si>
    <t>LEITOR CODIGO BARRAS 2D SR200NM USB PIST</t>
  </si>
  <si>
    <t>LEITOR 1D SM410</t>
  </si>
  <si>
    <t>CX REG SIRIUS PC 15.6"J6412 8/128GB +15.6" NO TOUCH</t>
  </si>
  <si>
    <t>CX REG SIRIUS PC 15.6" I3-10110U 8/128GB BRA + 15.6" NO TOUCH</t>
  </si>
  <si>
    <t>MON LCD PCAP LITE 15.6 COM  PEDESTAL VGA/HDMI LOGO CBR BRA</t>
  </si>
  <si>
    <t>MON LCD PCAP LITE 18.5 COM  PEDESTAL VGA/HDMI LOGO CBR BRA</t>
  </si>
  <si>
    <t>CX REG SIRIUS PC 15.6" J6412 4/128GB</t>
  </si>
  <si>
    <t>CX REG Sirius PC J6412 15.6" W.IoT 4/128 GB</t>
  </si>
  <si>
    <t>NPDV FUSION PC 10.1 CX REG 2TPCAP IMP ETH PR DISP.CLI BRA</t>
  </si>
  <si>
    <t>CX REG SIRIUS PC 15.6"J6412 8/128GB +11.6" NO TOUCH</t>
  </si>
  <si>
    <t>CX REG SIRIUS PC 15.6"J6412 8/128GB +11.6" TOUCH</t>
  </si>
  <si>
    <t>CX REG SIRIUS 15.6"+11.6" PCAP 8XUSB J6412 8/128GB</t>
  </si>
  <si>
    <t>CX REG Sirius PC J6412 15.6" W.IoT 8/128 GB</t>
  </si>
  <si>
    <t>CX REG SIRIUS PC 15.6" I5-10110U 8/256GB BRA</t>
  </si>
  <si>
    <t>CX REG SIRIUS PC 15.6" i5-10110U 8/256GB +11.6" TOUCH</t>
  </si>
  <si>
    <t>CX REG SIRIUS PC 15.6" I5-12110U 8/256GB BRA</t>
  </si>
  <si>
    <t>CX REG SIRIUS PC 15.6" i5-12110U 8/256GB +11.6" NO TOUCH</t>
  </si>
  <si>
    <t>CX REG SIRIUS PC 15.6" i5-12110U 8/256GB +11.6" TOUCH</t>
  </si>
  <si>
    <t>SIRIUS I5 12ª + 11.6" PCAP + 8USB 8/256 GB</t>
  </si>
  <si>
    <t>CX REG SIRIUS AND 11 15.6" RK3568 2/16 GB</t>
  </si>
  <si>
    <t>CX REG VEGA PC 11.6" J6412 4/128GB IMP TER 80MM + AUTO-FALANTE</t>
  </si>
  <si>
    <t>CX REG VEGA PC 11.6" I3-10110U 8/128GB IMP TER 80MM BRA</t>
  </si>
  <si>
    <t>CX REG VEGA 11.6 I3 10GEN 8+128GB WIN PRO BRA</t>
  </si>
  <si>
    <t>IMP TERM ETQ CB425-LP 4" USB+ETH PRETA  GARANTIA DE 18 MESES NA IMPRESSORA E 12 MESES NA CABEÇA TÉRMICA</t>
  </si>
  <si>
    <t>IMP TERM VKP80III RX65 CB SER/USB/AC FONTE BRA (MONTADA CHINA)</t>
  </si>
  <si>
    <t>TG 2480HIII IMP TERM USB FONTE CB AC/SERIAL/USB BRA</t>
  </si>
  <si>
    <t>K80 IMP TERM USB FONTE CABO AC/SERIAL BRA</t>
  </si>
  <si>
    <t>K80-F IMP TERM 80MM OF NPE PE FON USB PMB</t>
  </si>
  <si>
    <t>IMPRESSORA TERMICA MODUS 3 80 OF GUI USB R232+BICO+NPE</t>
  </si>
  <si>
    <t>IMP TERM TPTCM112III C EJETOR USB RS232 CUT BRA</t>
  </si>
  <si>
    <t>IMP TERM TPTCM112III 112MM 200DPI SEM FONTE</t>
  </si>
  <si>
    <t>LEITOR COD BARRAS 2D USB KBR2D-C CASE</t>
  </si>
  <si>
    <t>CBR2D-T LEITOR TOTEM</t>
  </si>
  <si>
    <t>MODULO ETH IMP TER ETQ D4</t>
  </si>
  <si>
    <t>IMP IMPAC FH190 40COL RS232 RTCK BRA</t>
  </si>
  <si>
    <t>IMP IMPAC FH190 24COL RS232 RTCK 5V BRA</t>
  </si>
  <si>
    <t>CX REG SIRIUS PC 15.6" I5-11110U 8/256GB BRA</t>
  </si>
  <si>
    <t>CX REG SIRIUS PC 15.6" i5-11110U 8/256GB +11.6" TOUCH</t>
  </si>
  <si>
    <t>NPDV FUSION ANDR 10.1 CX REG 2TPCAP IMP ETH USB PR DISP.CLI BRA</t>
  </si>
  <si>
    <t>IMPRESSORA TERMICA MODUS 3 80 OF GUI USB R232 NOTCH</t>
  </si>
  <si>
    <t>IMP TERM MPLUSII 4.7-5V C KIT CABOS RS232 BRA</t>
  </si>
  <si>
    <t>IMP TERM PLUS2 4-7.5V CABOS PLUS-S BRA</t>
  </si>
  <si>
    <t>IMP TERM PLUS2 RX65 4-7.5 V C KIT CABOS RS232 BRA</t>
  </si>
  <si>
    <t>Tem na 2025?</t>
  </si>
  <si>
    <t>% Alteração</t>
  </si>
  <si>
    <t>Categoria</t>
  </si>
  <si>
    <t>PDV</t>
  </si>
  <si>
    <t>IMPRESSORA DESKTOP</t>
  </si>
  <si>
    <t>LEITOR DESKTOP</t>
  </si>
  <si>
    <t>IMPRESSORA OPEN FRAME</t>
  </si>
  <si>
    <t>LEITOR OPEN FRAME</t>
  </si>
  <si>
    <t>MONITOR OPEN FRAME</t>
  </si>
  <si>
    <t>PEDESTAL</t>
  </si>
  <si>
    <t>MONITOR LITE</t>
  </si>
  <si>
    <t>Processador</t>
  </si>
  <si>
    <t>J6412</t>
  </si>
  <si>
    <t>I3</t>
  </si>
  <si>
    <t>I5</t>
  </si>
  <si>
    <t>ANDROID</t>
  </si>
  <si>
    <t>N97</t>
  </si>
  <si>
    <t>N3060</t>
  </si>
  <si>
    <t>Tela Principal</t>
  </si>
  <si>
    <t>Tela Secundária</t>
  </si>
  <si>
    <t>RAM</t>
  </si>
  <si>
    <t>SSD</t>
  </si>
  <si>
    <t>Touch 2a Tela</t>
  </si>
  <si>
    <t>SIM</t>
  </si>
  <si>
    <t>NÃO</t>
  </si>
  <si>
    <t>CATEGORIA</t>
  </si>
  <si>
    <t>NCM</t>
  </si>
  <si>
    <t>ESTADO DESTINO</t>
  </si>
  <si>
    <t>ALIQ. ICMS</t>
  </si>
  <si>
    <t xml:space="preserve">ICMS ST </t>
  </si>
  <si>
    <t>DIFAL CONTRIBUINTE</t>
  </si>
  <si>
    <t>DIFAL NÃO CONTRIBUINTE</t>
  </si>
  <si>
    <t>ALIQ. INTERNA</t>
  </si>
  <si>
    <t>LEITOR DE CÓDIGO DE BARRAS</t>
  </si>
  <si>
    <t>8471.90.12</t>
  </si>
  <si>
    <t>AL</t>
  </si>
  <si>
    <t>AM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</si>
  <si>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</si>
  <si>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</si>
  <si>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</si>
  <si>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</si>
  <si>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</si>
  <si>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</si>
  <si>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</si>
  <si>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</si>
  <si>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</si>
  <si>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PB</t>
  </si>
  <si>
    <t>PI</t>
  </si>
  <si>
    <t>PR</t>
  </si>
  <si>
    <t>RJ</t>
  </si>
  <si>
    <t>RN</t>
  </si>
  <si>
    <t>RS</t>
  </si>
  <si>
    <t>SC</t>
  </si>
  <si>
    <t>SP</t>
  </si>
  <si>
    <t>TO</t>
  </si>
  <si>
    <t>IMPRESSORA COM PPB</t>
  </si>
  <si>
    <t>8443.32.99</t>
  </si>
  <si>
    <t>IMPRESSORA IMPORTADA</t>
  </si>
  <si>
    <t>PDV IMPORTADO</t>
  </si>
  <si>
    <t>8470.50.10</t>
  </si>
  <si>
    <t>MONITOR COM PPB</t>
  </si>
  <si>
    <t>8528.52.00</t>
  </si>
  <si>
    <t>PEDESTAL MONITOR</t>
  </si>
  <si>
    <t>8529.90.20</t>
  </si>
  <si>
    <t>MONITOR IMPORTADO</t>
  </si>
  <si>
    <t>AC</t>
  </si>
  <si>
    <t>CONSUMO</t>
  </si>
  <si>
    <t>REVENDA</t>
  </si>
  <si>
    <t>AP</t>
  </si>
  <si>
    <t>PA</t>
  </si>
  <si>
    <t>PE</t>
  </si>
  <si>
    <t>RO</t>
  </si>
  <si>
    <t>RR</t>
  </si>
  <si>
    <t>SE</t>
  </si>
  <si>
    <t>NATUREZA OPERAÇÃO</t>
  </si>
  <si>
    <t>IE?</t>
  </si>
  <si>
    <t>IMPOSTO</t>
  </si>
  <si>
    <t>ICMS</t>
  </si>
  <si>
    <t>Dólar</t>
  </si>
  <si>
    <t xml:space="preserve">931FL103300L33 </t>
  </si>
  <si>
    <t xml:space="preserve">931FL104700L33 </t>
  </si>
  <si>
    <t xml:space="preserve">931FL104600L33 </t>
  </si>
  <si>
    <t xml:space="preserve">921LB662100733 </t>
  </si>
  <si>
    <t xml:space="preserve">995ED040700333 </t>
  </si>
  <si>
    <t xml:space="preserve">915DX012000300 </t>
  </si>
  <si>
    <t xml:space="preserve">976ZZ010000347 </t>
  </si>
  <si>
    <t xml:space="preserve"> CTM-0700 OF MONITOR DE VIDEO 7" COM TOUCH PCAP + PEDESTAL</t>
  </si>
  <si>
    <t xml:space="preserve"> CTM-0700 OF MONITOR DE VIDEO 7" NO TOUCH PCAP + PEDESTAL</t>
  </si>
  <si>
    <t> NPDV FUSION PC 10.1   CX REG 2TPCAP IMP ETH PR DISP.CLI BRA *</t>
  </si>
  <si>
    <t xml:space="preserve">CX REG SIRIUS PC 15.6" PCAP + 15.6" J6412 8/128GB      </t>
  </si>
  <si>
    <t>CX REG SIRIUS PC 15.6" J6412 8/128GB  +11.6" NO TOUCH</t>
  </si>
  <si>
    <t>CX REG SIRIUS PC 15.6" J6412 8/128GB  +11.6" TOUCH</t>
  </si>
  <si>
    <t xml:space="preserve">CX REG SIRIUS 15.6" 8XUSB J6412 8/128GB                </t>
  </si>
  <si>
    <t>CX REG VEGA 11.6 J6412 4+128 GB</t>
  </si>
  <si>
    <t xml:space="preserve">CX REG VEGA PC 11.6" J6412 4/128GB IMP TER 80MM + ALTO-FALANTE   </t>
  </si>
  <si>
    <t xml:space="preserve">CX REG SIRIUS PC 15.6" I3-12TH 8/128GB BRA  + 11.6 NO TOUCH                          </t>
  </si>
  <si>
    <t xml:space="preserve">CX REG SIRIUS PC 15.6" I3-10TH 8/128GB BRA    </t>
  </si>
  <si>
    <t>CX REG SIRIUS 15.6 I3 10TH 8+256 GB WIN PRO BRA</t>
  </si>
  <si>
    <t xml:space="preserve">CX REG SIRIUS PC 15.6" + 11.6" PCAP I3 10TH 8/128GB                            </t>
  </si>
  <si>
    <t xml:space="preserve">CX REG VEGA PC 11.6" I3-10TH 8/128GB IMP TER 80MM BRA     </t>
  </si>
  <si>
    <t>CX REG VEGA 11.6 I3 10TH  8+128GB WIN PRO BRA</t>
  </si>
  <si>
    <t xml:space="preserve">CX REG SIRIUS PC 15.6" I5 12TH + 11.6 PCAP + WIFI  </t>
  </si>
  <si>
    <t xml:space="preserve">CX REG SIRIUS PC 15.6" I5 12TH 8/256GB                                </t>
  </si>
  <si>
    <t xml:space="preserve">CX REG SIRIUS PC 15.6" I5-12TH 8/256GB  +11.6" NO TOUCH </t>
  </si>
  <si>
    <t>CX REG SIRIUS PC 15.6" I5 -12TH 8/256GB  +11.6" TOUCH</t>
  </si>
  <si>
    <t xml:space="preserve">CX REG SIRIUS 15.6 PCAP I5 7USB WIFI+BT BRA  </t>
  </si>
  <si>
    <t xml:space="preserve">CX REG SIRIUS 15.6"+15.6" PCAP I5 12TH 8/256 WIFI   </t>
  </si>
  <si>
    <t>SIRIUS ANDR - RK3568 2GB/16GB 15.6" PCAP</t>
  </si>
  <si>
    <t>CX REG SIRIUS ANDROID 15.6" + 11.6"  2/16GB</t>
  </si>
  <si>
    <t>ANTARES ANDR - RK3568 2GB/16GB 15.6" PCAP + 11.6" + 80MM PRINTER</t>
  </si>
  <si>
    <t xml:space="preserve"> LEITOR CODIGO BARRAS 2D SR500NM USB STND    </t>
  </si>
  <si>
    <t xml:space="preserve">LEITOR CODIGO BARRAS 2D SM600U USB BRA    </t>
  </si>
  <si>
    <t> K80 IMP TERM USB  FONTE CABO AC/SERIAL BRA</t>
  </si>
  <si>
    <t xml:space="preserve">IMP TERMICA MODUS X USB RS232+ACESS+BICO+NPE BRA    </t>
  </si>
  <si>
    <t xml:space="preserve">Não </t>
  </si>
  <si>
    <t>IMP TERM PLUS4 KIT CABOS RS232 BRA</t>
  </si>
  <si>
    <t xml:space="preserve">CABO SERIAL DB9/RJ45 PARA LEITOR CBR2D-T 2M   </t>
  </si>
  <si>
    <t xml:space="preserve">CABO SERIAL DB9/RJ45 PARA LEITOR CBR2D-V 2M                           </t>
  </si>
  <si>
    <t xml:space="preserve"> CTM-0700 OF MONITOR DE VIDEO 7" COM TOUCH PCAP</t>
  </si>
  <si>
    <t xml:space="preserve"> CTM-0700 OF MONITOR DE VIDEO 7" NO TOUCH PCAP</t>
  </si>
  <si>
    <t xml:space="preserve">CTM-1010 OF MONITOR DE VIDEO 10.1" NO TOUCH </t>
  </si>
  <si>
    <t>CX REG SIRIUS PC 15.6"+11.6" J6412 8/128GB</t>
  </si>
  <si>
    <t>CX REG SIRIUS PC 15.6"+11.6" PCAP J6412 8/128GB</t>
  </si>
  <si>
    <t>CX REG SIRIUS 15.6" PCAP WIFI+BT BRA I5</t>
  </si>
  <si>
    <t>CX REG SIRIUS PC 15.6"+11.6" PCAP I5 12TH 8/256GB</t>
  </si>
  <si>
    <t>CX REG SIRIUS PC 15.6"+11.6" PCAP I5 12TH 8/256GB+WIFI</t>
  </si>
  <si>
    <t>CX REG SIRIUS AND 11 15.6" RK3568 2/32 GB</t>
  </si>
  <si>
    <t>CX REG SIRIUS AND 15.6"+11.6" S/TOUCH 2/32GB BRA</t>
  </si>
  <si>
    <t>CX REG VEGA AND 11 11.6" RK3568 2/32GB IMP TER 80MM</t>
  </si>
  <si>
    <t>CX REG ANTARES AND 11 15.6"+11.6" RK3568 2/32GB IMP TER 80MM (8pç)</t>
  </si>
  <si>
    <t>ORION 21.5" AIO-2150 J6412 8/128GB BRA</t>
  </si>
  <si>
    <t>ORION 23.8" AIO-2380 J6412 8/128GB BRA</t>
  </si>
  <si>
    <t>ORION 27" AIO-2700 J6412 8/128GB BRA</t>
  </si>
  <si>
    <t>ORION 21.5" AIO-2150 I5 12TH 8/128GB BRA</t>
  </si>
  <si>
    <t>ORION 23.8" AIO-2380 I5 12TH 8/128GB BRA</t>
  </si>
  <si>
    <t>ORION 27" AIO-2700 I5 12TH 8/128GB BRA</t>
  </si>
  <si>
    <t>IMP TERM DE ETQ CB425-LP USB+ETH</t>
  </si>
  <si>
    <t>IMP TERMICA MODUS 3 80 OF GUI USB R232+BICO+NPE</t>
  </si>
  <si>
    <t>IMP TERMICA MODUS 3 X USB RS232+BICO+NPE BRA</t>
  </si>
  <si>
    <t>IMP IMPAC FH190 40COL RS232 RTCK 9-40 BRA</t>
  </si>
  <si>
    <t>IMP TERM PM2 MINI 4-8V C KIT CABOS RS232 BRA</t>
  </si>
  <si>
    <t>LEITOR DE CODIGO DE BARRAS CBR2D-C USB</t>
  </si>
  <si>
    <t>CTM-0700 OF MONITOR DE VIDEO 7" PCAP HDMI/VGA</t>
  </si>
  <si>
    <t>CTM-0700 OF MONITOR DE VIDEO 7" SEM TOUCH/PEDESTAL + LOGO</t>
  </si>
  <si>
    <t>CTM-1010 OF MONITOR DE VIDEO 10.1" SEM TOUCH/PEDESTAL + LOGO</t>
  </si>
  <si>
    <t>CTM-1010 OF MONITOR DE VIDEO 10.1" HB NO TOUCH/LOGO/PEDESTAL</t>
  </si>
  <si>
    <t>CTM-3200 OF MONITOR DE VIDEO 32" PCAP HDMI/VGA</t>
  </si>
  <si>
    <t>CTM-1010 OF MONITOR DE VIDEO 10.1" C/PEDESTAL + LOGO</t>
  </si>
  <si>
    <t>CTM-1700 OF MONITOR DE VIDEO 17" COM TOUCH PCAP + PEDESTAL</t>
  </si>
  <si>
    <t>MON LCD PCAP LITE 15.6" VGA/HDMI LOGO CBR COM PEDESTAL BRA</t>
  </si>
  <si>
    <t>CX REG VEGA PC 11.6" I3-10TH 8/128GB IMP TER 80MM BRA</t>
  </si>
  <si>
    <t>CX REG SIRIUS PC 15.6" 8XUSB N97 8/128GB</t>
  </si>
  <si>
    <t>CTM-1500 OF MONITOR DE VIDEO 15" COM TOUCH PCAP + PEDESTAL/LOGO</t>
  </si>
  <si>
    <t>PEDESTAL ARTICULADO PARA MONITOR 7" e 10.1" LITE</t>
  </si>
  <si>
    <t>8471.49.00</t>
  </si>
  <si>
    <t>8443.32.23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</si>
</sst>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1" applyFont="1"/>
    <xf numFmtId="10" fontId="0" fillId="0" borderId="0" xfId="1" applyNumberFormat="1" applyFont="1"/>
    <xf numFmtId="44" fontId="0" fillId="0" borderId="0" xfId="0" applyNumberFormat="1"/>
    <xf numFmtId="9" fontId="2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44" fontId="2" fillId="0" borderId="0" xfId="0" quotePrefix="1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quotePrefix="1" applyFont="1"/>
    <xf numFmtId="10" fontId="2" fillId="0" borderId="0" xfId="1" applyNumberFormat="1" applyFont="1" applyAlignment="1">
      <alignment vertical="center"/>
    </xf>
    <xf numFmtId="0" fontId="0" fillId="0" borderId="0" xfId="0" quotePrefix="1"/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9" fontId="0" fillId="0" borderId="0" xfId="1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9" fontId="5" fillId="2" borderId="2" xfId="1" applyNumberFormat="1" applyFont="1" applyFill="1" applyBorder="1" applyAlignment="1">
      <alignment horizontal="center" vertical="center"/>
    </xf>
    <xf numFmtId="9" fontId="5" fillId="2" borderId="2" xfId="1" applyNumberFormat="1" applyFont="1" applyFill="1" applyBorder="1" applyAlignment="1">
      <alignment vertical="center"/>
    </xf>
    <xf numFmtId="10" fontId="5" fillId="2" borderId="2" xfId="1" applyNumberFormat="1" applyFont="1" applyFill="1" applyBorder="1" applyAlignment="1">
      <alignment vertical="center"/>
    </xf>
    <xf numFmtId="44" fontId="5" fillId="2" borderId="2" xfId="0" applyNumberFormat="1" applyFont="1" applyFill="1" applyBorder="1" applyAlignment="1">
      <alignment horizontal="center" vertical="center"/>
    </xf>
    <xf numFmtId="44" fontId="5" fillId="2" borderId="2" xfId="0" quotePrefix="1" applyNumberFormat="1" applyFont="1" applyFill="1" applyBorder="1" applyAlignment="1">
      <alignment horizontal="center" vertical="center"/>
    </xf>
    <xf numFmtId="44" fontId="5" fillId="2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2EC87-3046-C046-AE3E-0648E79AF9DA}" name="Table2" displayName="Table2" ref="A1:Y81" totalsRowShown="0" headerRowDxfId="0" headerRowBorderDxfId="11" tableBorderDxfId="12">
  <autoFilter ref="A1:Y81" xr:uid="{D842EC87-3046-C046-AE3E-0648E79AF9DA}"/>
  <tableColumns count="25">
    <tableColumn id="1" xr3:uid="{5A7D2559-97C4-334C-A25B-B5414EA82545}" name="PN"/>
    <tableColumn id="2" xr3:uid="{F63AE6D0-E49A-D44D-9AE6-114AC383CE69}" name="DESCRIÇÃO"/>
    <tableColumn id="3" xr3:uid="{D6391F81-31F6-2D4D-AA7A-97188DEC8D2E}" name="NCM"/>
    <tableColumn id="4" xr3:uid="{62691BC4-A521-714E-B23C-24844A8B0BEA}" name="PPB" dataDxfId="10"/>
    <tableColumn id="5" xr3:uid="{3EF3A936-6806-C241-8351-678D56192EAD}" name="GARANTIA" dataDxfId="9"/>
    <tableColumn id="6" xr3:uid="{E60BFCE8-AFD0-CE4E-8C2F-0B4041DCECAD}" name="IPI" dataDxfId="8" dataCellStyle="Percent"/>
    <tableColumn id="7" xr3:uid="{10E9C76A-2BF2-CD49-B424-3169F2C27B3F}" name="ICMS" dataDxfId="7" dataCellStyle="Percent">
      <calculatedColumnFormula>IF(D2="Sim",0.12,0.04)</calculatedColumnFormula>
    </tableColumn>
    <tableColumn id="8" xr3:uid="{0B2B2F8E-BFF0-4C4B-ABBE-00BACC2A7DE6}" name="ESTADO DESTINO"/>
    <tableColumn id="9" xr3:uid="{C0305947-7230-0E4F-BA89-736519D2A665}" name="NATUREZA OPERAÇÃO"/>
    <tableColumn id="10" xr3:uid="{57CB0C8A-F94A-0A4B-B86F-DF140EFA6501}" name="IE?"/>
    <tableColumn id="11" xr3:uid="{70D86A59-9A30-C948-973C-459BC8F55126}" name="IMPOSTO"/>
    <tableColumn id="12" xr3:uid="{64B365FC-AC64-6747-8A76-54666F555CA2}" name="DISTRI" dataDxfId="6"/>
    <tableColumn id="13" xr3:uid="{0A9A49A7-8C5F-9446-B7C3-C8D9971020CC}" name="1 - 5" dataDxfId="5">
      <calculatedColumnFormula>L2*1.23</calculatedColumnFormula>
    </tableColumn>
    <tableColumn id="14" xr3:uid="{26C2B81C-215D-464F-8287-B2C306CD3024}" name="6 - 10" dataDxfId="4">
      <calculatedColumnFormula>L2*1.2</calculatedColumnFormula>
    </tableColumn>
    <tableColumn id="15" xr3:uid="{527915BF-65FC-834D-8DD5-0041A25073D1}" name="10+" dataDxfId="3">
      <calculatedColumnFormula>L2*1.17</calculatedColumnFormula>
    </tableColumn>
    <tableColumn id="16" xr3:uid="{876848AB-93B0-6946-9D0F-F40E49F89026}" name="ESPECIAL" dataDxfId="2">
      <calculatedColumnFormula>(O2+L2)/2</calculatedColumnFormula>
    </tableColumn>
    <tableColumn id="17" xr3:uid="{BFBAFB49-7B21-B04F-9406-2171E9EEB676}" name="SHOWROOM" dataDxfId="1">
      <calculatedColumnFormula>L2*1.01249086924762</calculatedColumnFormula>
    </tableColumn>
    <tableColumn id="18" xr3:uid="{A69C525C-5F0B-0147-9AC6-91C7008F7A9C}" name="Tem na 2025?"/>
    <tableColumn id="19" xr3:uid="{E1FF1C64-DE00-1248-904D-5E60CFFF6682}" name="Categoria"/>
    <tableColumn id="20" xr3:uid="{CB26B5CB-DEEC-5844-8047-2914347811C8}" name="Processador"/>
    <tableColumn id="21" xr3:uid="{9087E18F-EE9D-7F4E-9B68-B3C0DDE91412}" name="Tela Principal"/>
    <tableColumn id="22" xr3:uid="{714D98BF-8FEE-4941-BCEF-830EE3F64FD4}" name="Tela Secundária"/>
    <tableColumn id="23" xr3:uid="{B089835E-3679-1242-952E-7E897042703A}" name="Touch 2a Tela"/>
    <tableColumn id="24" xr3:uid="{B4088CCE-316C-9143-8052-684037BC361F}" name="RAM"/>
    <tableColumn id="25" xr3:uid="{B21A64D1-F6D2-9845-8385-2BCFECC9C8D7}" name="S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49111-F841-1243-82A2-96FF149F7504}" name="Table1" displayName="Table1" ref="A1:Y117" totalsRowShown="0" headerRowDxfId="25">
  <autoFilter ref="A1:Y117" xr:uid="{18EF9276-BBC6-5B4D-BB92-A5D94A5D479E}"/>
  <tableColumns count="25">
    <tableColumn id="1" xr3:uid="{6F36FBC8-94A8-804F-B1A1-39EDF3170164}" name="PN"/>
    <tableColumn id="2" xr3:uid="{F1507BD8-980B-EF48-B993-CCC83FCDBFAB}" name="DESCRIÇÃO"/>
    <tableColumn id="3" xr3:uid="{923A41FD-398C-534D-A5AC-26C7E26C7121}" name="NCM"/>
    <tableColumn id="4" xr3:uid="{220C34CF-D94C-E747-BABD-B1EB9B8F9E42}" name="PPB"/>
    <tableColumn id="5" xr3:uid="{AE2F4DE4-943B-7D4C-8054-F79DED17F431}" name="GARANTIA"/>
    <tableColumn id="6" xr3:uid="{D5DCAACB-190D-6240-9A01-511E68AC8A45}" name="IPI" dataDxfId="24"/>
    <tableColumn id="7" xr3:uid="{C353EF59-D9F4-3042-A95D-F29787CE119B}" name="ICMS" dataDxfId="23"/>
    <tableColumn id="8" xr3:uid="{3139915A-D9BC-714F-8640-1F771C79A879}" name="ESTADO DESTINO" dataDxfId="22"/>
    <tableColumn id="9" xr3:uid="{65E9863E-35A0-A845-AE1E-1F5768D21F9A}" name="NATUREZA OPERAÇÃO" dataDxfId="21"/>
    <tableColumn id="10" xr3:uid="{DD6249D5-04A4-F440-88FB-9F2C38855C44}" name="IE?" dataDxfId="20"/>
    <tableColumn id="11" xr3:uid="{BB6A9FDD-6B2B-0741-81B7-98DAA2EAB2D2}" name="IMPOSTO" dataDxfId="19">
      <calculatedColumnFormula array="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calculatedColumnFormula>
    </tableColumn>
    <tableColumn id="12" xr3:uid="{F6A272EB-DFC8-494F-8958-4767AA6091BC}" name="DISTRI" dataDxfId="18"/>
    <tableColumn id="13" xr3:uid="{CB8EB545-B1EE-FA43-B3B5-8CFC2EC286E2}" name="1 - 5" dataDxfId="17">
      <calculatedColumnFormula>L2*1.23</calculatedColumnFormula>
    </tableColumn>
    <tableColumn id="14" xr3:uid="{AEEC1D63-F01B-3546-B183-FEDDF8AA03EF}" name="6 - 10" dataDxfId="16">
      <calculatedColumnFormula>L2*1.2</calculatedColumnFormula>
    </tableColumn>
    <tableColumn id="15" xr3:uid="{2D73FA3E-AB64-F648-B0CA-BCF37A4EBA32}" name="10+" dataDxfId="15">
      <calculatedColumnFormula>L2*1.17</calculatedColumnFormula>
    </tableColumn>
    <tableColumn id="16" xr3:uid="{4C17D81F-FF8E-8146-B0F3-809C80211692}" name="ESPECIAL" dataDxfId="14">
      <calculatedColumnFormula>(L2+O2)/2</calculatedColumnFormula>
    </tableColumn>
    <tableColumn id="17" xr3:uid="{3335D2FB-E7AF-444D-9A23-15C9BF148D1A}" name="SHOWROOM" dataDxfId="13">
      <calculatedColumnFormula>L2*1.01249086924762</calculatedColumnFormula>
    </tableColumn>
    <tableColumn id="18" xr3:uid="{A242B3D6-0272-9842-816B-0BE83570DEAA}" name="Tem na 2025?">
      <calculatedColumnFormula>IFERROR(_xlfn.XLOOKUP(A2,'2025 NOV'!A:A,'2025 NOV'!L:L),"NÃO TEM NA LISTA 2025")</calculatedColumnFormula>
    </tableColumn>
    <tableColumn id="19" xr3:uid="{7187C598-8F32-5343-8178-60A827BCFB97}" name="Categoria"/>
    <tableColumn id="20" xr3:uid="{4FC7752E-2BDF-F847-9CB2-0376D4C199F2}" name="Processador"/>
    <tableColumn id="21" xr3:uid="{213DB32F-24A9-6C49-869A-595611DC81ED}" name="Tela Principal"/>
    <tableColumn id="22" xr3:uid="{0B3C6C7F-2C10-7645-B41F-9093CE3761B0}" name="Tela Secundária"/>
    <tableColumn id="23" xr3:uid="{DBB4C4AF-D488-1B48-960E-9C80EA3BCA05}" name="Touch 2a Tela"/>
    <tableColumn id="24" xr3:uid="{73300209-D9C6-FB40-ADD5-032EBE2F8A30}" name="RAM"/>
    <tableColumn id="25" xr3:uid="{0C472AFE-3836-B744-BA8C-C98A38360052}" name="S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75C2-67C0-AB41-92FE-65A7508BD5AF}">
  <dimension ref="A1:E87"/>
  <sheetViews>
    <sheetView topLeftCell="A40" zoomScale="160" zoomScaleNormal="160" workbookViewId="0">
      <selection activeCell="B70" sqref="B70"/>
    </sheetView>
  </sheetViews>
  <sheetFormatPr baseColWidth="10" defaultColWidth="10.83203125" defaultRowHeight="16" x14ac:dyDescent="0.2"/>
  <cols>
    <col min="1" max="1" width="16" bestFit="1" customWidth="1"/>
    <col min="2" max="2" width="69.5" bestFit="1" customWidth="1"/>
  </cols>
  <sheetData>
    <row r="1" spans="1: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369</v>
      </c>
    </row>
    <row r="2" spans="1:5" x14ac:dyDescent="0.2">
      <c r="A2" t="s">
        <v>4</v>
      </c>
      <c r="B2" t="str">
        <f>_xlfn.XLOOKUP(A2,'2026'!A:A,'2026'!B:B)</f>
        <v>MON LCD PCAP LITE 15.6 VGA/HDMI LOGO CBR BRA</v>
      </c>
      <c r="C2" s="3">
        <f>_xlfn.XLOOKUP(A2,'2025 NOV'!A:A,'2025 NOV'!G:G)</f>
        <v>247.69393443463099</v>
      </c>
      <c r="D2" s="3">
        <f>_xlfn.XLOOKUP(A2,'2026'!A:A,'2026'!L:L)</f>
        <v>259.94687906357808</v>
      </c>
      <c r="E2" s="2">
        <f t="shared" ref="E2:E33" si="0">(D2-C2)/C2</f>
        <v>4.9468085106382655E-2</v>
      </c>
    </row>
    <row r="3" spans="1:5" x14ac:dyDescent="0.2">
      <c r="A3" t="s">
        <v>5</v>
      </c>
      <c r="B3" t="str">
        <f>_xlfn.XLOOKUP(A3,'2026'!A:A,'2026'!B:B)</f>
        <v> NPDV FUSION PC 10.1 CX REG 2TPCAP IMP ETH PR DISP.CLI BRA *</v>
      </c>
      <c r="C3" s="3">
        <f>_xlfn.XLOOKUP(A3,'2025 NOV'!A:A,'2025 NOV'!G:G)</f>
        <v>595.33778801932021</v>
      </c>
      <c r="D3" s="3">
        <f>_xlfn.XLOOKUP(A3,'2026'!A:A,'2026'!L:L)</f>
        <v>595.33778801932033</v>
      </c>
      <c r="E3" s="2">
        <f t="shared" si="0"/>
        <v>1.9096190433308528E-16</v>
      </c>
    </row>
    <row r="4" spans="1:5" x14ac:dyDescent="0.2">
      <c r="A4" t="s">
        <v>37</v>
      </c>
      <c r="B4" t="str">
        <f>_xlfn.XLOOKUP(A4,'2026'!A:A,'2026'!B:B)</f>
        <v>CX REG SIRIUS PC 15.6" PCAP + 15.6" J6412 8/128GB</v>
      </c>
      <c r="C4" s="3" t="e">
        <f>_xlfn.XLOOKUP(A4,'2025 NOV'!A:A,'2025 NOV'!G:G)</f>
        <v>#N/A</v>
      </c>
      <c r="D4" s="3">
        <f>_xlfn.XLOOKUP(A4,'2026'!A:A,'2026'!L:L)</f>
        <v>894.54090760153667</v>
      </c>
      <c r="E4" s="2" t="e">
        <f t="shared" si="0"/>
        <v>#N/A</v>
      </c>
    </row>
    <row r="5" spans="1:5" x14ac:dyDescent="0.2">
      <c r="A5" t="s">
        <v>6</v>
      </c>
      <c r="B5" t="str">
        <f>_xlfn.XLOOKUP(A5,'2026'!A:A,'2026'!B:B)</f>
        <v>CX REG SIRIUS PC 15.6" J6412 8/128GB</v>
      </c>
      <c r="C5" s="3">
        <f>_xlfn.XLOOKUP(A5,'2025 NOV'!A:A,'2025 NOV'!G:G)</f>
        <v>523.07587661123011</v>
      </c>
      <c r="D5" s="3">
        <f>_xlfn.XLOOKUP(A5,'2026'!A:A,'2026'!L:L)</f>
        <v>750.7931233618333</v>
      </c>
      <c r="E5" s="2">
        <f t="shared" si="0"/>
        <v>0.43534266620338008</v>
      </c>
    </row>
    <row r="6" spans="1:5" x14ac:dyDescent="0.2">
      <c r="A6" t="s">
        <v>8</v>
      </c>
      <c r="B6" t="str">
        <f>_xlfn.XLOOKUP(A6,'2026'!A:A,'2026'!B:B)</f>
        <v>CX REG SIRIUS 15.6" J6412 8+128 GB WIN IOT BRA</v>
      </c>
      <c r="C6" s="3">
        <f>_xlfn.XLOOKUP(A6,'2025 NOV'!A:A,'2025 NOV'!G:G)</f>
        <v>654.95742411409265</v>
      </c>
      <c r="D6" s="3">
        <f>_xlfn.XLOOKUP(A6,'2026'!A:A,'2026'!L:L)</f>
        <v>858.71544715447158</v>
      </c>
      <c r="E6" s="2">
        <f t="shared" si="0"/>
        <v>0.31110117320371738</v>
      </c>
    </row>
    <row r="7" spans="1:5" x14ac:dyDescent="0.2">
      <c r="A7" t="s">
        <v>10</v>
      </c>
      <c r="B7" t="str">
        <f>_xlfn.XLOOKUP(A7,'2026'!A:A,'2026'!B:B)</f>
        <v>CX REG SIRIUS PC 15.6" J6412 8/128GB +11.6" NO TOUCH</v>
      </c>
      <c r="C7" s="3">
        <f>_xlfn.XLOOKUP(A7,'2025 NOV'!A:A,'2025 NOV'!G:G)</f>
        <v>669.93114880284816</v>
      </c>
      <c r="D7" s="3">
        <f>_xlfn.XLOOKUP(A7,'2026'!A:A,'2026'!L:L)</f>
        <v>847.30455756922765</v>
      </c>
      <c r="E7" s="2">
        <f t="shared" si="0"/>
        <v>0.26476363889534288</v>
      </c>
    </row>
    <row r="8" spans="1:5" x14ac:dyDescent="0.2">
      <c r="A8" t="s">
        <v>11</v>
      </c>
      <c r="B8" t="str">
        <f>_xlfn.XLOOKUP(A8,'2026'!A:A,'2026'!B:B)</f>
        <v>CX REG SIRIUS 15.6" + 11.6" J6412 8+128 GB NO TOUCH WIN IOT BRA</v>
      </c>
      <c r="C8" s="3">
        <f>_xlfn.XLOOKUP(A8,'2025 NOV'!A:A,'2025 NOV'!G:G)</f>
        <v>784.73047148220712</v>
      </c>
      <c r="D8" s="3">
        <f>_xlfn.XLOOKUP(A8,'2026'!A:A,'2026'!L:L)</f>
        <v>954.68292682926835</v>
      </c>
      <c r="E8" s="2">
        <f t="shared" si="0"/>
        <v>0.21657430356444965</v>
      </c>
    </row>
    <row r="9" spans="1:5" x14ac:dyDescent="0.2">
      <c r="A9" t="s">
        <v>13</v>
      </c>
      <c r="B9" t="str">
        <f>_xlfn.XLOOKUP(A9,'2026'!A:A,'2026'!B:B)</f>
        <v>CX REG SIRIUS PC 15.6" J6412 8/128GB +11.6" TOUCH</v>
      </c>
      <c r="C9" s="3">
        <f>_xlfn.XLOOKUP(A9,'2025 NOV'!A:A,'2025 NOV'!G:G)</f>
        <v>707.32593646640908</v>
      </c>
      <c r="D9" s="3">
        <f>_xlfn.XLOOKUP(A9,'2026'!A:A,'2026'!L:L)</f>
        <v>887.95623596939026</v>
      </c>
      <c r="E9" s="2">
        <f t="shared" si="0"/>
        <v>0.25537067169536676</v>
      </c>
    </row>
    <row r="10" spans="1:5" x14ac:dyDescent="0.2">
      <c r="A10" t="s">
        <v>14</v>
      </c>
      <c r="B10" t="str">
        <f>_xlfn.XLOOKUP(A10,'2026'!A:A,'2026'!B:B)</f>
        <v>CX REG SIRIUS 15.6" + 11.6" PCAP J6412 8+128 GB TOUCH WIN IOT BRA</v>
      </c>
      <c r="C10" s="3">
        <f>_xlfn.XLOOKUP(A10,'2025 NOV'!A:A,'2025 NOV'!G:G)</f>
        <v>822.83557680359286</v>
      </c>
      <c r="D10" s="3">
        <f>_xlfn.XLOOKUP(A10,'2026'!A:A,'2026'!L:L)</f>
        <v>995.81300813008124</v>
      </c>
      <c r="E10" s="2">
        <f t="shared" si="0"/>
        <v>0.21022113798049513</v>
      </c>
    </row>
    <row r="11" spans="1:5" x14ac:dyDescent="0.2">
      <c r="A11" t="s">
        <v>17</v>
      </c>
      <c r="B11" t="str">
        <f>_xlfn.XLOOKUP(A11,'2026'!A:A,'2026'!B:B)</f>
        <v>CX REG VEGA 11.6 J6412 8+128 GB</v>
      </c>
      <c r="C11" s="3">
        <f>_xlfn.XLOOKUP(A11,'2025 NOV'!A:A,'2025 NOV'!G:G)</f>
        <v>647.89307213549625</v>
      </c>
      <c r="D11" s="3">
        <f>_xlfn.XLOOKUP(A11,'2026'!A:A,'2026'!L:L)</f>
        <v>827.44600286392688</v>
      </c>
      <c r="E11" s="2">
        <f t="shared" si="0"/>
        <v>0.27713358646761399</v>
      </c>
    </row>
    <row r="12" spans="1:5" x14ac:dyDescent="0.2">
      <c r="A12" t="s">
        <v>18</v>
      </c>
      <c r="B12" t="str">
        <f>_xlfn.XLOOKUP(A12,'2026'!A:A,'2026'!B:B)</f>
        <v>CX REG VEGA PC 11.6" J6412 4/128GB IMP TER 80MM + ALTO-FALANTE</v>
      </c>
      <c r="C12" s="3">
        <f>_xlfn.XLOOKUP(A12,'2025 NOV'!A:A,'2025 NOV'!G:G)</f>
        <v>647.96296296296282</v>
      </c>
      <c r="D12" s="3">
        <f>_xlfn.XLOOKUP(A12,'2026'!A:A,'2026'!L:L)</f>
        <v>827.44600286392688</v>
      </c>
      <c r="E12" s="2">
        <f t="shared" si="0"/>
        <v>0.27699583179914439</v>
      </c>
    </row>
    <row r="13" spans="1:5" x14ac:dyDescent="0.2">
      <c r="A13" t="s">
        <v>19</v>
      </c>
      <c r="B13" t="str">
        <f>_xlfn.XLOOKUP(A13,'2026'!A:A,'2026'!B:B)</f>
        <v>CX REG VEGA 11.6 J6412 4+128 GB WIN IOT BRA</v>
      </c>
      <c r="C13" s="3">
        <f>_xlfn.XLOOKUP(A13,'2025 NOV'!A:A,'2025 NOV'!G:G)</f>
        <v>843.49485826946989</v>
      </c>
      <c r="D13" s="3">
        <f>_xlfn.XLOOKUP(A13,'2026'!A:A,'2026'!L:L)</f>
        <v>934.65261994540651</v>
      </c>
      <c r="E13" s="2">
        <f t="shared" si="0"/>
        <v>0.10807150841791452</v>
      </c>
    </row>
    <row r="14" spans="1:5" x14ac:dyDescent="0.2">
      <c r="A14" t="s">
        <v>21</v>
      </c>
      <c r="B14" t="str">
        <f>_xlfn.XLOOKUP(A14,'2026'!A:A,'2026'!B:B)</f>
        <v> CX REG ANTARES PC 15.6"+11.6" J6412 4/128GB IMP TER 80MM</v>
      </c>
      <c r="C14" s="3">
        <f>_xlfn.XLOOKUP(A14,'2025 NOV'!A:A,'2025 NOV'!G:G)</f>
        <v>707.07070707070704</v>
      </c>
      <c r="D14" s="3">
        <f>_xlfn.XLOOKUP(A14,'2026'!A:A,'2026'!L:L)</f>
        <v>706.87405094718213</v>
      </c>
      <c r="E14" s="2">
        <f t="shared" si="0"/>
        <v>-2.7812794612809739E-4</v>
      </c>
    </row>
    <row r="15" spans="1:5" x14ac:dyDescent="0.2">
      <c r="A15" t="s">
        <v>23</v>
      </c>
      <c r="B15" t="str">
        <f>_xlfn.XLOOKUP(A15,'2026'!A:A,'2026'!B:B)</f>
        <v>CX REG ANTARES 15.6 J6412 4+128 GB WIN IOT BRA</v>
      </c>
      <c r="C15" s="3">
        <f>_xlfn.XLOOKUP(A15,'2025 NOV'!A:A,'2025 NOV'!G:G)</f>
        <v>810.505027299841</v>
      </c>
      <c r="D15" s="3">
        <f>_xlfn.XLOOKUP(A15,'2026'!A:A,'2026'!L:L)</f>
        <v>1067.4078251965773</v>
      </c>
      <c r="E15" s="2">
        <f t="shared" si="0"/>
        <v>0.31696632253176238</v>
      </c>
    </row>
    <row r="16" spans="1:5" x14ac:dyDescent="0.2">
      <c r="A16" t="s">
        <v>242</v>
      </c>
      <c r="B16" t="str">
        <f>_xlfn.XLOOKUP(A16,'2025 NOV'!A:A,'2025 NOV'!B:B)</f>
        <v xml:space="preserve">CX REG SIRIUS PC 15.6" I3-12TH 8/128GB BRA  + 11.6 NO TOUCH                          </v>
      </c>
      <c r="C16" s="3">
        <f>_xlfn.XLOOKUP(A16,'2025 NOV'!A:A,'2025 NOV'!G:G)</f>
        <v>960.78631432166776</v>
      </c>
      <c r="D16" s="3" t="e">
        <f>_xlfn.XLOOKUP(A16,'2026'!A:A,'2026'!L:L)</f>
        <v>#N/A</v>
      </c>
      <c r="E16" s="2" t="e">
        <f t="shared" si="0"/>
        <v>#N/A</v>
      </c>
    </row>
    <row r="17" spans="1:5" x14ac:dyDescent="0.2">
      <c r="A17" t="s">
        <v>40</v>
      </c>
      <c r="B17" t="str">
        <f>_xlfn.XLOOKUP(A17,'2026'!A:A,'2026'!B:B)</f>
        <v>CX REG SIRIUS PC 15.6" + 11.6" PCAP I3 10TH 8/128GB</v>
      </c>
      <c r="C17" s="3">
        <f>_xlfn.XLOOKUP(A17,'2025 NOV'!A:A,'2025 NOV'!G:G)</f>
        <v>1001.2583749957486</v>
      </c>
      <c r="D17" s="3">
        <f>_xlfn.XLOOKUP(A17,'2026'!A:A,'2026'!L:L)</f>
        <v>788.66241866103496</v>
      </c>
      <c r="E17" s="2">
        <f t="shared" si="0"/>
        <v>-0.21232876712328755</v>
      </c>
    </row>
    <row r="18" spans="1:5" x14ac:dyDescent="0.2">
      <c r="A18" t="s">
        <v>41</v>
      </c>
      <c r="B18" t="str">
        <f>_xlfn.XLOOKUP(A18,'2026'!A:A,'2026'!B:B)</f>
        <v>CX REG VEGA PC 11.6" I3-12TH 8/128GB IMP TER 80MM BRA</v>
      </c>
      <c r="C18" s="3" t="e">
        <f>_xlfn.XLOOKUP(A18,'2025 NOV'!A:A,'2025 NOV'!G:G)</f>
        <v>#N/A</v>
      </c>
      <c r="D18" s="3">
        <f>_xlfn.XLOOKUP(A18,'2026'!A:A,'2026'!L:L)</f>
        <v>1030.2252702856179</v>
      </c>
      <c r="E18" s="2" t="e">
        <f t="shared" si="0"/>
        <v>#N/A</v>
      </c>
    </row>
    <row r="19" spans="1:5" x14ac:dyDescent="0.2">
      <c r="A19" t="s">
        <v>42</v>
      </c>
      <c r="B19" t="str">
        <f>_xlfn.XLOOKUP(A19,'2026'!A:A,'2026'!B:B)</f>
        <v>CX REG VEGA 11.6 I3 10TH 8+128GB WIN PRO BRA (47 pç)</v>
      </c>
      <c r="C19" s="3">
        <f>_xlfn.XLOOKUP(A19,'2025 NOV'!A:A,'2025 NOV'!G:G)</f>
        <v>1051.557841848811</v>
      </c>
      <c r="D19" s="3">
        <f>_xlfn.XLOOKUP(A19,'2026'!A:A,'2026'!L:L)</f>
        <v>1044.3071665457155</v>
      </c>
      <c r="E19" s="2">
        <f t="shared" si="0"/>
        <v>-6.8951749628414181E-3</v>
      </c>
    </row>
    <row r="20" spans="1:5" x14ac:dyDescent="0.2">
      <c r="A20" t="s">
        <v>43</v>
      </c>
      <c r="B20" t="str">
        <f>_xlfn.XLOOKUP(A20,'2026'!A:A,'2026'!B:B)</f>
        <v>CX REG SIRIUS PC 15.6" I5 12TH + 11.6 PCAP + WIFI</v>
      </c>
      <c r="C20" s="3">
        <f>_xlfn.XLOOKUP(A20,'2025 NOV'!A:A,'2025 NOV'!G:G)</f>
        <v>1147.5019555827635</v>
      </c>
      <c r="D20" s="3">
        <f>_xlfn.XLOOKUP(A20,'2026'!A:A,'2026'!L:L)</f>
        <v>1207.8512958272277</v>
      </c>
      <c r="E20" s="2">
        <f t="shared" si="0"/>
        <v>5.2591928014462989E-2</v>
      </c>
    </row>
    <row r="21" spans="1:5" x14ac:dyDescent="0.2">
      <c r="A21" t="s">
        <v>45</v>
      </c>
      <c r="B21" t="str">
        <f>_xlfn.XLOOKUP(A21,'2026'!A:A,'2026'!B:B)</f>
        <v>CX REG SIRIUS PC 15.6" I5 12TH 8/256GB</v>
      </c>
      <c r="C21" s="3">
        <f>_xlfn.XLOOKUP(A21,'2025 NOV'!A:A,'2025 NOV'!G:G)</f>
        <v>918.83631322133976</v>
      </c>
      <c r="D21" s="3">
        <f>_xlfn.XLOOKUP(A21,'2026'!A:A,'2026'!L:L)</f>
        <v>1061.1987996533658</v>
      </c>
      <c r="E21" s="2">
        <f t="shared" si="0"/>
        <v>0.15493781034068915</v>
      </c>
    </row>
    <row r="22" spans="1:5" x14ac:dyDescent="0.2">
      <c r="A22" t="s">
        <v>46</v>
      </c>
      <c r="B22" t="str">
        <f>_xlfn.XLOOKUP(A22,'2026'!A:A,'2026'!B:B)</f>
        <v>CX REG SIRIUS PC 15.6" I5-12TH 8/256GB +11.6" NO TOUCH</v>
      </c>
      <c r="C22" s="3">
        <f>_xlfn.XLOOKUP(A22,'2025 NOV'!A:A,'2025 NOV'!G:G)</f>
        <v>1052.2037037037037</v>
      </c>
      <c r="D22" s="3">
        <f>_xlfn.XLOOKUP(A22,'2026'!A:A,'2026'!L:L)</f>
        <v>1157.7135547803985</v>
      </c>
      <c r="E22" s="2">
        <f t="shared" si="0"/>
        <v>0.10027511850158427</v>
      </c>
    </row>
    <row r="23" spans="1:5" x14ac:dyDescent="0.2">
      <c r="A23" t="s">
        <v>48</v>
      </c>
      <c r="B23" t="str">
        <f>_xlfn.XLOOKUP(A23,'2026'!A:A,'2026'!B:B)</f>
        <v>CX REG SIRIUS PC 15.6" I5 -12TH 8/256GB +11.6" TOUCH</v>
      </c>
      <c r="C23" s="3">
        <f>_xlfn.XLOOKUP(A23,'2025 NOV'!A:A,'2025 NOV'!G:G)</f>
        <v>1092.1074074074072</v>
      </c>
      <c r="D23" s="3">
        <f>_xlfn.XLOOKUP(A23,'2026'!A:A,'2026'!L:L)</f>
        <v>1198.3012499135448</v>
      </c>
      <c r="E23" s="2">
        <f t="shared" si="0"/>
        <v>9.7237544389736294E-2</v>
      </c>
    </row>
    <row r="24" spans="1:5" x14ac:dyDescent="0.2">
      <c r="A24" t="s">
        <v>50</v>
      </c>
      <c r="B24" t="str">
        <f>_xlfn.XLOOKUP(A24,'2026'!A:A,'2026'!B:B)</f>
        <v>CX REG SIRIUS 15.6 PCAP I5 7USB WIFI+BT BRA</v>
      </c>
      <c r="C24" s="3">
        <f>_xlfn.XLOOKUP(A24,'2025 NOV'!A:A,'2025 NOV'!G:G)</f>
        <v>916.57313879536082</v>
      </c>
      <c r="D24" s="3">
        <f>_xlfn.XLOOKUP(A24,'2026'!A:A,'2026'!L:L)</f>
        <v>1067.4471544715448</v>
      </c>
      <c r="E24" s="2">
        <f t="shared" si="0"/>
        <v>0.16460663016426114</v>
      </c>
    </row>
    <row r="25" spans="1:5" x14ac:dyDescent="0.2">
      <c r="A25" t="s">
        <v>51</v>
      </c>
      <c r="B25" t="str">
        <f>_xlfn.XLOOKUP(A25,'2026'!A:A,'2026'!B:B)</f>
        <v>CX REG SIRIUS 15.6"+15.6" PCAP I5 12TH 8/256 WIFI</v>
      </c>
      <c r="C25" s="3">
        <f>_xlfn.XLOOKUP(A25,'2025 NOV'!A:A,'2025 NOV'!G:G)</f>
        <v>1069.9588477366253</v>
      </c>
      <c r="D25" s="3">
        <f>_xlfn.XLOOKUP(A25,'2026'!A:A,'2026'!L:L)</f>
        <v>1220.7977220762521</v>
      </c>
      <c r="E25" s="2">
        <f t="shared" si="0"/>
        <v>0.14097633255588193</v>
      </c>
    </row>
    <row r="26" spans="1:5" x14ac:dyDescent="0.2">
      <c r="A26" t="s">
        <v>55</v>
      </c>
      <c r="B26" t="str">
        <f>_xlfn.XLOOKUP(A26,'2026'!A:A,'2026'!B:B)</f>
        <v>SIRIUS AND - RK3568 2GB/16GB 15.6" PCAP</v>
      </c>
      <c r="C26" s="3">
        <f>_xlfn.XLOOKUP(A26,'2025 NOV'!A:A,'2025 NOV'!G:G)</f>
        <v>456.0759106213651</v>
      </c>
      <c r="D26" s="3">
        <f>_xlfn.XLOOKUP(A26,'2026'!A:A,'2026'!L:L)</f>
        <v>549.04474302649351</v>
      </c>
      <c r="E26" s="2">
        <f t="shared" si="0"/>
        <v>0.20384508420641245</v>
      </c>
    </row>
    <row r="27" spans="1:5" x14ac:dyDescent="0.2">
      <c r="A27" t="s">
        <v>57</v>
      </c>
      <c r="B27" t="str">
        <f>_xlfn.XLOOKUP(A27,'2026'!A:A,'2026'!B:B)</f>
        <v>CX REG SIRIUS AND 15.6" + 11.6" 2/16GB</v>
      </c>
      <c r="C27" s="3" t="e">
        <f>_xlfn.XLOOKUP(A27,'2025 NOV'!A:A,'2025 NOV'!G:G)</f>
        <v>#N/A</v>
      </c>
      <c r="D27" s="3">
        <f>_xlfn.XLOOKUP(A27,'2026'!A:A,'2026'!L:L)</f>
        <v>654.28720695874551</v>
      </c>
      <c r="E27" s="2" t="e">
        <f t="shared" si="0"/>
        <v>#N/A</v>
      </c>
    </row>
    <row r="28" spans="1:5" x14ac:dyDescent="0.2">
      <c r="A28" t="s">
        <v>58</v>
      </c>
      <c r="B28" t="str">
        <f>_xlfn.XLOOKUP(A28,'2026'!A:A,'2026'!B:B)</f>
        <v>CX REG VEGA AND 11 11.6" RK3568 4/16 GB IMP TER 80MM</v>
      </c>
      <c r="C28" s="3">
        <f>_xlfn.XLOOKUP(A28,'2025 NOV'!A:A,'2025 NOV'!G:G)</f>
        <v>923.71526714961033</v>
      </c>
      <c r="D28" s="3">
        <f>_xlfn.XLOOKUP(A28,'2026'!A:A,'2026'!L:L)</f>
        <v>638.86178861788619</v>
      </c>
      <c r="E28" s="2">
        <f t="shared" si="0"/>
        <v>-0.3083780128596571</v>
      </c>
    </row>
    <row r="29" spans="1:5" x14ac:dyDescent="0.2">
      <c r="A29" t="s">
        <v>59</v>
      </c>
      <c r="B29" t="str">
        <f>_xlfn.XLOOKUP(A29,'2026'!A:A,'2026'!B:B)</f>
        <v>CX REG ANTARES AND 11 15.6"+11.6" RK3568 2/32GB IMP TER 80MM (8 pç)</v>
      </c>
      <c r="C29" s="3">
        <f>_xlfn.XLOOKUP(A29,'2025 NOV'!A:A,'2025 NOV'!G:G)</f>
        <v>668.63925449784017</v>
      </c>
      <c r="D29" s="3">
        <f>_xlfn.XLOOKUP(A29,'2026'!A:A,'2026'!L:L)</f>
        <v>669.01808363799591</v>
      </c>
      <c r="E29" s="2">
        <f t="shared" si="0"/>
        <v>5.6656730457779021E-4</v>
      </c>
    </row>
    <row r="30" spans="1:5" x14ac:dyDescent="0.2">
      <c r="A30" t="s">
        <v>62</v>
      </c>
      <c r="B30" t="str">
        <f>_xlfn.XLOOKUP(A30,'2026'!A:A,'2026'!B:B)</f>
        <v>ORION 21.5"J6412 - RAM 8GB -  SSD 128GB</v>
      </c>
      <c r="C30" s="3">
        <f>_xlfn.XLOOKUP(A30,'2025 NOV'!A:A,'2025 NOV'!G:G)</f>
        <v>705.37020031969519</v>
      </c>
      <c r="D30" s="3">
        <f>_xlfn.XLOOKUP(A30,'2026'!A:A,'2026'!L:L)</f>
        <v>826.786382341935</v>
      </c>
      <c r="E30" s="2">
        <f t="shared" si="0"/>
        <v>0.17213114754097963</v>
      </c>
    </row>
    <row r="31" spans="1:5" x14ac:dyDescent="0.2">
      <c r="A31" t="s">
        <v>63</v>
      </c>
      <c r="B31" t="str">
        <f>_xlfn.XLOOKUP(A31,'2026'!A:A,'2026'!B:B)</f>
        <v>ORION 23.8"J6412 - RAM 8GB -  SSD 128GB</v>
      </c>
      <c r="C31" s="3">
        <f>_xlfn.XLOOKUP(A31,'2025 NOV'!A:A,'2025 NOV'!G:G)</f>
        <v>757.40570690065624</v>
      </c>
      <c r="D31" s="3">
        <f>_xlfn.XLOOKUP(A31,'2026'!A:A,'2026'!L:L)</f>
        <v>890.04523347957729</v>
      </c>
      <c r="E31" s="2">
        <f t="shared" si="0"/>
        <v>0.17512348450830786</v>
      </c>
    </row>
    <row r="32" spans="1:5" x14ac:dyDescent="0.2">
      <c r="A32" t="s">
        <v>64</v>
      </c>
      <c r="B32" t="str">
        <f>_xlfn.XLOOKUP(A32,'2026'!A:A,'2026'!B:B)</f>
        <v>ORION 27"J6412 - RAM 8GB -  SSD 128GB</v>
      </c>
      <c r="C32" s="3">
        <f>_xlfn.XLOOKUP(A32,'2025 NOV'!A:A,'2025 NOV'!G:G)</f>
        <v>787.33462571846383</v>
      </c>
      <c r="D32" s="3">
        <f>_xlfn.XLOOKUP(A32,'2026'!A:A,'2026'!L:L)</f>
        <v>923.37516579940666</v>
      </c>
      <c r="E32" s="2">
        <f t="shared" si="0"/>
        <v>0.17278617710582997</v>
      </c>
    </row>
    <row r="33" spans="1:5" x14ac:dyDescent="0.2">
      <c r="A33" t="s">
        <v>65</v>
      </c>
      <c r="B33" t="str">
        <f>_xlfn.XLOOKUP(A33,'2026'!A:A,'2026'!B:B)</f>
        <v>ORION 21.5" I5 12gen - RAM 8GB -  SSD 128GB</v>
      </c>
      <c r="C33" s="3">
        <f>_xlfn.XLOOKUP(A33,'2025 NOV'!A:A,'2025 NOV'!G:G)</f>
        <v>1057.7151991293404</v>
      </c>
      <c r="D33" s="3">
        <f>_xlfn.XLOOKUP(A33,'2026'!A:A,'2026'!L:L)</f>
        <v>1135.9385096758863</v>
      </c>
      <c r="E33" s="2">
        <f t="shared" si="0"/>
        <v>7.3954983922832479E-2</v>
      </c>
    </row>
    <row r="34" spans="1:5" x14ac:dyDescent="0.2">
      <c r="A34" t="s">
        <v>66</v>
      </c>
      <c r="B34" t="str">
        <f>_xlfn.XLOOKUP(A34,'2026'!A:A,'2026'!B:B)</f>
        <v>ORION 23.8" I5 12gen - RAM 8GB -  SSD 128GB</v>
      </c>
      <c r="C34" s="3">
        <f>_xlfn.XLOOKUP(A34,'2025 NOV'!A:A,'2025 NOV'!G:G)</f>
        <v>1107.7100976090874</v>
      </c>
      <c r="D34" s="3">
        <f>_xlfn.XLOOKUP(A34,'2026'!A:A,'2026'!L:L)</f>
        <v>1197.8369554127155</v>
      </c>
      <c r="E34" s="2">
        <f t="shared" ref="E34:E65" si="1">(D34-C34)/C34</f>
        <v>8.1363217684988581E-2</v>
      </c>
    </row>
    <row r="35" spans="1:5" x14ac:dyDescent="0.2">
      <c r="A35" t="s">
        <v>67</v>
      </c>
      <c r="B35" t="str">
        <f>_xlfn.XLOOKUP(A35,'2026'!A:A,'2026'!B:B)</f>
        <v>ORION 27" I5 12gen - RAM 8GB -  SSD 128GB</v>
      </c>
      <c r="C35" s="3">
        <f>_xlfn.XLOOKUP(A35,'2025 NOV'!A:A,'2025 NOV'!G:G)</f>
        <v>1143.4207393803351</v>
      </c>
      <c r="D35" s="3">
        <f>_xlfn.XLOOKUP(A35,'2026'!A:A,'2026'!L:L)</f>
        <v>1233.207495833756</v>
      </c>
      <c r="E35" s="2">
        <f t="shared" si="1"/>
        <v>7.852468768589925E-2</v>
      </c>
    </row>
    <row r="36" spans="1:5" x14ac:dyDescent="0.2">
      <c r="A36" t="s">
        <v>68</v>
      </c>
      <c r="B36" t="str">
        <f>_xlfn.XLOOKUP(A36,'2026'!A:A,'2026'!B:B)</f>
        <v>IMP TERM P3L 80MM USB ETH RS232 BRA</v>
      </c>
      <c r="C36" s="3">
        <f>_xlfn.XLOOKUP(A36,'2025 NOV'!A:A,'2025 NOV'!G:G)</f>
        <v>66.961138211382121</v>
      </c>
      <c r="D36" s="3">
        <f>_xlfn.XLOOKUP(A36,'2026'!A:A,'2026'!L:L)</f>
        <v>67.504065040650403</v>
      </c>
      <c r="E36" s="2">
        <f t="shared" si="1"/>
        <v>8.1080884192018532E-3</v>
      </c>
    </row>
    <row r="37" spans="1:5" x14ac:dyDescent="0.2">
      <c r="A37" t="s">
        <v>69</v>
      </c>
      <c r="B37" t="str">
        <f>_xlfn.XLOOKUP(A37,'2026'!A:A,'2026'!B:B)</f>
        <v> IMP TERM ETQ D4 102 PRETA USB BRA</v>
      </c>
      <c r="C37" s="3">
        <f>_xlfn.XLOOKUP(A37,'2025 NOV'!A:A,'2025 NOV'!G:G)</f>
        <v>171.1033361144778</v>
      </c>
      <c r="D37" s="3">
        <f>_xlfn.XLOOKUP(A37,'2026'!A:A,'2026'!L:L)</f>
        <v>171.10333611447805</v>
      </c>
      <c r="E37" s="2">
        <f t="shared" si="1"/>
        <v>1.4949760225744196E-15</v>
      </c>
    </row>
    <row r="38" spans="1:5" x14ac:dyDescent="0.2">
      <c r="A38" t="s">
        <v>71</v>
      </c>
      <c r="B38" t="str">
        <f>_xlfn.XLOOKUP(A38,'2026'!A:A,'2026'!B:B)</f>
        <v>IMP ETIQUETAS CB425-LP</v>
      </c>
      <c r="C38" s="3">
        <f>_xlfn.XLOOKUP(A38,'2025 NOV'!A:A,'2025 NOV'!G:G)</f>
        <v>151.64174943789263</v>
      </c>
      <c r="D38" s="3">
        <f>_xlfn.XLOOKUP(A38,'2026'!A:A,'2026'!L:L)</f>
        <v>151.64174943789268</v>
      </c>
      <c r="E38" s="2">
        <f t="shared" si="1"/>
        <v>3.748533571494384E-16</v>
      </c>
    </row>
    <row r="39" spans="1:5" x14ac:dyDescent="0.2">
      <c r="A39" t="s">
        <v>72</v>
      </c>
      <c r="B39" t="str">
        <f>_xlfn.XLOOKUP(A39,'2026'!A:A,'2026'!B:B)</f>
        <v> LEITOR CODIGO BARRAS 2D SR500NM USB STND</v>
      </c>
      <c r="C39" s="3" t="e">
        <f>_xlfn.XLOOKUP(A39,'2025 NOV'!A:A,'2025 NOV'!G:G)</f>
        <v>#N/A</v>
      </c>
      <c r="D39" s="3">
        <f>_xlfn.XLOOKUP(A39,'2026'!A:A,'2026'!L:L)</f>
        <v>136.95426602180731</v>
      </c>
      <c r="E39" s="2" t="e">
        <f t="shared" si="1"/>
        <v>#N/A</v>
      </c>
    </row>
    <row r="40" spans="1:5" x14ac:dyDescent="0.2">
      <c r="A40" t="s">
        <v>73</v>
      </c>
      <c r="B40" t="str">
        <f>_xlfn.XLOOKUP(A40,'2026'!A:A,'2026'!B:B)</f>
        <v>LEITOR CODIGO BARRAS 2D SM600U USB BRA</v>
      </c>
      <c r="C40" s="3">
        <f>_xlfn.XLOOKUP(A40,'2025 NOV'!A:A,'2025 NOV'!G:G)</f>
        <v>67.901694918375256</v>
      </c>
      <c r="D40" s="3">
        <f>_xlfn.XLOOKUP(A40,'2026'!A:A,'2026'!L:L)</f>
        <v>67.901694918375284</v>
      </c>
      <c r="E40" s="2">
        <f t="shared" si="1"/>
        <v>4.1857142836522408E-16</v>
      </c>
    </row>
    <row r="41" spans="1:5" x14ac:dyDescent="0.2">
      <c r="A41" t="s">
        <v>74</v>
      </c>
      <c r="B41" t="str">
        <f>_xlfn.XLOOKUP(A41,'2026'!A:A,'2026'!B:B)</f>
        <v>LEITOR DE CODIGO DE BARRAS CBR2D-V USB</v>
      </c>
      <c r="C41" s="3">
        <f>_xlfn.XLOOKUP(A41,'2025 NOV'!A:A,'2025 NOV'!G:G)</f>
        <v>119.06504660127848</v>
      </c>
      <c r="D41" s="3">
        <f>_xlfn.XLOOKUP(A41,'2026'!A:A,'2026'!L:L)</f>
        <v>119.06504660127885</v>
      </c>
      <c r="E41" s="2">
        <f t="shared" si="1"/>
        <v>3.1031963883788939E-15</v>
      </c>
    </row>
    <row r="42" spans="1:5" x14ac:dyDescent="0.2">
      <c r="A42" t="s">
        <v>75</v>
      </c>
      <c r="B42" t="str">
        <f>_xlfn.XLOOKUP(A42,'2026'!A:A,'2026'!B:B)</f>
        <v>LEITOR DE CODIGO DE BARRAS CBR2D-V USB/SERIAL</v>
      </c>
      <c r="C42" s="3">
        <f>_xlfn.XLOOKUP(A42,'2025 NOV'!A:A,'2025 NOV'!G:G)</f>
        <v>132.07762000032534</v>
      </c>
      <c r="D42" s="3">
        <f>_xlfn.XLOOKUP(A42,'2026'!A:A,'2026'!L:L)</f>
        <v>132.0776200003252</v>
      </c>
      <c r="E42" s="2">
        <f t="shared" si="1"/>
        <v>-1.0759472130984036E-15</v>
      </c>
    </row>
    <row r="43" spans="1:5" x14ac:dyDescent="0.2">
      <c r="A43" t="s">
        <v>76</v>
      </c>
      <c r="B43" t="str">
        <f>_xlfn.XLOOKUP(A43,'2026'!A:A,'2026'!B:B)</f>
        <v>LEITOR DE CODIGO DE BARRAS CBR2D-P COM PEDESTAL USB</v>
      </c>
      <c r="C43" s="3">
        <f>_xlfn.XLOOKUP(A43,'2025 NOV'!A:A,'2025 NOV'!G:G)</f>
        <v>47.758913007139952</v>
      </c>
      <c r="D43" s="3">
        <f>_xlfn.XLOOKUP(A43,'2026'!A:A,'2026'!L:L)</f>
        <v>47.758913007139917</v>
      </c>
      <c r="E43" s="2">
        <f t="shared" si="1"/>
        <v>-7.4388495363564294E-16</v>
      </c>
    </row>
    <row r="44" spans="1:5" x14ac:dyDescent="0.2">
      <c r="A44" t="s">
        <v>77</v>
      </c>
      <c r="B44" t="str">
        <f>_xlfn.XLOOKUP(A44,'2026'!A:A,'2026'!B:B)</f>
        <v>VKP80III IMPRESSORA TERMICA RX65 USB RS232 REAR+HOLDER+ACES BRA(NOVA)</v>
      </c>
      <c r="C44" s="3" t="e">
        <f>_xlfn.XLOOKUP(A44,'2025 NOV'!A:A,'2025 NOV'!G:G)</f>
        <v>#N/A</v>
      </c>
      <c r="D44" s="3">
        <f>_xlfn.XLOOKUP(A44,'2026'!A:A,'2026'!L:L)</f>
        <v>276.28737839059107</v>
      </c>
      <c r="E44" s="2" t="e">
        <f t="shared" si="1"/>
        <v>#N/A</v>
      </c>
    </row>
    <row r="45" spans="1:5" x14ac:dyDescent="0.2">
      <c r="A45" t="s">
        <v>82</v>
      </c>
      <c r="B45" t="str">
        <f>_xlfn.XLOOKUP(A45,'2026'!A:A,'2026'!B:B)</f>
        <v> TG 2480H (3) IMP TERM USB FONTE CABO AC/SERIAL BRA</v>
      </c>
      <c r="C45" s="3">
        <f>_xlfn.XLOOKUP(A45,'2025 NOV'!A:A,'2025 NOV'!G:G)</f>
        <v>212.59819525158423</v>
      </c>
      <c r="D45" s="3">
        <f>_xlfn.XLOOKUP(A45,'2026'!A:A,'2026'!L:L)</f>
        <v>212.59819525158454</v>
      </c>
      <c r="E45" s="2">
        <f t="shared" si="1"/>
        <v>1.4705618895987047E-15</v>
      </c>
    </row>
    <row r="46" spans="1:5" x14ac:dyDescent="0.2">
      <c r="A46" t="s">
        <v>83</v>
      </c>
      <c r="B46" t="str">
        <f>_xlfn.XLOOKUP(A46,'2026'!A:A,'2026'!B:B)</f>
        <v> K80 IMP TERM USB FONTE CABO AC/SERIAL BRA</v>
      </c>
      <c r="C46" s="3">
        <f>_xlfn.XLOOKUP(A46,'2025 NOV'!A:A,'2025 NOV'!G:G)</f>
        <v>178.52903103513472</v>
      </c>
      <c r="D46" s="3">
        <f>_xlfn.XLOOKUP(A46,'2026'!A:A,'2026'!L:L)</f>
        <v>178.52903103513495</v>
      </c>
      <c r="E46" s="2">
        <f t="shared" si="1"/>
        <v>1.2735949672996581E-15</v>
      </c>
    </row>
    <row r="47" spans="1:5" x14ac:dyDescent="0.2">
      <c r="A47" t="s">
        <v>84</v>
      </c>
      <c r="B47" t="str">
        <f>_xlfn.XLOOKUP(A47,'2026'!A:A,'2026'!B:B)</f>
        <v> K80-F IMP TERM 80MM OF NPE PE FON USB PMB</v>
      </c>
      <c r="C47" s="3">
        <f>_xlfn.XLOOKUP(A47,'2025 NOV'!A:A,'2025 NOV'!G:G)</f>
        <v>154.45292352293393</v>
      </c>
      <c r="D47" s="3">
        <f>_xlfn.XLOOKUP(A47,'2026'!A:A,'2026'!L:L)</f>
        <v>154.45292352293416</v>
      </c>
      <c r="E47" s="2">
        <f t="shared" si="1"/>
        <v>1.4721228336572761E-15</v>
      </c>
    </row>
    <row r="48" spans="1:5" x14ac:dyDescent="0.2">
      <c r="A48" t="s">
        <v>85</v>
      </c>
      <c r="B48" t="str">
        <f>_xlfn.XLOOKUP(A48,'2026'!A:A,'2026'!B:B)</f>
        <v>IMPRESSORA MODUS 3 (BICO E SENSOR)</v>
      </c>
      <c r="C48" s="3">
        <f>_xlfn.XLOOKUP(A48,'2025 NOV'!A:A,'2025 NOV'!G:G)</f>
        <v>230.18300695292336</v>
      </c>
      <c r="D48" s="3">
        <f>_xlfn.XLOOKUP(A48,'2026'!A:A,'2026'!L:L)</f>
        <v>230.18300695292359</v>
      </c>
      <c r="E48" s="2">
        <f t="shared" si="1"/>
        <v>9.877952262989341E-16</v>
      </c>
    </row>
    <row r="49" spans="1:5" x14ac:dyDescent="0.2">
      <c r="A49" t="s">
        <v>86</v>
      </c>
      <c r="B49" t="str">
        <f>_xlfn.XLOOKUP(A49,'2026'!A:A,'2026'!B:B)</f>
        <v>IMP TERMICA MODUS X USB RS232+ACESS+BICO+NPE BRA</v>
      </c>
      <c r="C49" s="3">
        <f>_xlfn.XLOOKUP(A49,'2025 NOV'!A:A,'2025 NOV'!G:G)</f>
        <v>249.50173740986426</v>
      </c>
      <c r="D49" s="3">
        <f>_xlfn.XLOOKUP(A49,'2026'!A:A,'2026'!L:L)</f>
        <v>249.50173740986421</v>
      </c>
      <c r="E49" s="2">
        <f t="shared" si="1"/>
        <v>-2.2782774761776333E-16</v>
      </c>
    </row>
    <row r="50" spans="1:5" x14ac:dyDescent="0.2">
      <c r="A50" t="s">
        <v>87</v>
      </c>
      <c r="B50" t="str">
        <f>_xlfn.XLOOKUP(A50,'2026'!A:A,'2026'!B:B)</f>
        <v>IMP TERM KPM216HIII SER/USB/AC FONTE BRA</v>
      </c>
      <c r="C50" s="3">
        <f>_xlfn.XLOOKUP(A50,'2025 NOV'!A:A,'2025 NOV'!G:G)</f>
        <v>1116.5573916369542</v>
      </c>
      <c r="D50" s="3">
        <f>_xlfn.XLOOKUP(A50,'2026'!A:A,'2026'!L:L)</f>
        <v>1116.5573916369513</v>
      </c>
      <c r="E50" s="2">
        <f t="shared" si="1"/>
        <v>-2.647295878296515E-15</v>
      </c>
    </row>
    <row r="51" spans="1:5" x14ac:dyDescent="0.2">
      <c r="A51" t="s">
        <v>89</v>
      </c>
      <c r="B51" t="str">
        <f>_xlfn.XLOOKUP(A51,'2026'!A:A,'2026'!B:B)</f>
        <v>IMP TERM TPTCM112III 112MM 200DPI C/ CABO USB+NPE+FONTE</v>
      </c>
      <c r="C51" s="3">
        <f>_xlfn.XLOOKUP(A51,'2025 NOV'!A:A,'2025 NOV'!G:G)</f>
        <v>0</v>
      </c>
      <c r="D51" s="3">
        <f>_xlfn.XLOOKUP(A51,'2026'!A:A,'2026'!L:L)</f>
        <v>964.83720301516257</v>
      </c>
      <c r="E51" s="2" t="e">
        <f t="shared" si="1"/>
        <v>#DIV/0!</v>
      </c>
    </row>
    <row r="52" spans="1:5" x14ac:dyDescent="0.2">
      <c r="A52" t="s">
        <v>90</v>
      </c>
      <c r="B52" t="str">
        <f>_xlfn.XLOOKUP(A52,'2026'!A:A,'2026'!B:B)</f>
        <v> IMP IMPAC FH190 40COL RS232 RTCK BRA</v>
      </c>
      <c r="C52" s="3">
        <f>_xlfn.XLOOKUP(A52,'2025 NOV'!A:A,'2025 NOV'!G:G)</f>
        <v>290.22783064971719</v>
      </c>
      <c r="D52" s="3">
        <f>_xlfn.XLOOKUP(A52,'2026'!A:A,'2026'!L:L)</f>
        <v>290.22783064971708</v>
      </c>
      <c r="E52" s="2">
        <f t="shared" si="1"/>
        <v>-3.9171583740646623E-16</v>
      </c>
    </row>
    <row r="53" spans="1:5" x14ac:dyDescent="0.2">
      <c r="A53" t="s">
        <v>91</v>
      </c>
      <c r="B53" t="str">
        <f>_xlfn.XLOOKUP(A53,'2026'!A:A,'2026'!B:B)</f>
        <v>ADAPTADOR PLASTICO PARA IMP TER PLUS2 112X112 MM</v>
      </c>
      <c r="C53" s="3">
        <f>_xlfn.XLOOKUP(A53,'2025 NOV'!A:A,'2025 NOV'!G:G)</f>
        <v>14.842960231691736</v>
      </c>
      <c r="D53" s="3">
        <f>_xlfn.XLOOKUP(A53,'2026'!A:A,'2026'!L:L)</f>
        <v>14.842960231691707</v>
      </c>
      <c r="E53" s="2">
        <f t="shared" si="1"/>
        <v>-1.9148275671937595E-15</v>
      </c>
    </row>
    <row r="54" spans="1:5" x14ac:dyDescent="0.2">
      <c r="A54" t="s">
        <v>92</v>
      </c>
      <c r="B54" t="str">
        <f>_xlfn.XLOOKUP(A54,'2026'!A:A,'2026'!B:B)</f>
        <v>IMP TERM PM2 4-7.5V C KIT CABOS BRA</v>
      </c>
      <c r="C54" s="3">
        <f>_xlfn.XLOOKUP(A54,'2025 NOV'!A:A,'2025 NOV'!G:G)</f>
        <v>119.40802175302653</v>
      </c>
      <c r="D54" s="3">
        <f>_xlfn.XLOOKUP(A54,'2026'!A:A,'2026'!L:L)</f>
        <v>119.40802175302683</v>
      </c>
      <c r="E54" s="2">
        <f t="shared" si="1"/>
        <v>2.4992286501193803E-15</v>
      </c>
    </row>
    <row r="55" spans="1:5" x14ac:dyDescent="0.2">
      <c r="A55" t="s">
        <v>93</v>
      </c>
      <c r="B55" t="str">
        <f>_xlfn.XLOOKUP(A55,'2026'!A:A,'2026'!B:B)</f>
        <v>IMP TERM PM2 4-7.5 V C KIT CABOS RS232 BRA</v>
      </c>
      <c r="C55" s="3">
        <f>_xlfn.XLOOKUP(A55,'2025 NOV'!A:A,'2025 NOV'!G:G)</f>
        <v>127.28563429923317</v>
      </c>
      <c r="D55" s="3">
        <f>_xlfn.XLOOKUP(A55,'2026'!A:A,'2026'!L:L)</f>
        <v>127.28563429923335</v>
      </c>
      <c r="E55" s="2">
        <f t="shared" si="1"/>
        <v>1.4513901141689093E-15</v>
      </c>
    </row>
    <row r="56" spans="1:5" x14ac:dyDescent="0.2">
      <c r="A56" t="s">
        <v>94</v>
      </c>
      <c r="B56" t="str">
        <f>_xlfn.XLOOKUP(A56,'2026'!A:A,'2026'!B:B)</f>
        <v>IMP TERM PM2 MINI 4.7-5V C KIT CABOS RS232 BRA</v>
      </c>
      <c r="C56" s="3">
        <f>_xlfn.XLOOKUP(A56,'2025 NOV'!A:A,'2025 NOV'!G:G)</f>
        <v>114.43268751331709</v>
      </c>
      <c r="D56" s="3">
        <f>_xlfn.XLOOKUP(A56,'2026'!A:A,'2026'!L:L)</f>
        <v>114.43268751331706</v>
      </c>
      <c r="E56" s="2">
        <f t="shared" si="1"/>
        <v>-2.4837054908018683E-16</v>
      </c>
    </row>
    <row r="57" spans="1:5" x14ac:dyDescent="0.2">
      <c r="A57" t="s">
        <v>257</v>
      </c>
      <c r="B57" t="str">
        <f>_xlfn.XLOOKUP(A57,'2025 NOV'!A:A,'2025 NOV'!B:B)</f>
        <v>IMP TERM PLUS4 KIT CABOS RS232 BRA</v>
      </c>
      <c r="C57" s="3">
        <f>_xlfn.XLOOKUP(A57,'2025 NOV'!A:A,'2025 NOV'!G:G)</f>
        <v>342.46763023185787</v>
      </c>
      <c r="D57" s="3" t="e">
        <f>_xlfn.XLOOKUP(A57,'2026'!A:A,'2026'!L:L)</f>
        <v>#N/A</v>
      </c>
      <c r="E57" s="2" t="e">
        <f t="shared" si="1"/>
        <v>#N/A</v>
      </c>
    </row>
    <row r="58" spans="1:5" x14ac:dyDescent="0.2">
      <c r="A58" t="s">
        <v>96</v>
      </c>
      <c r="B58" t="str">
        <f>_xlfn.XLOOKUP(A58,'2026'!A:A,'2026'!B:B)</f>
        <v> LEITOR COD BARRAS 2D USB KBR2D-C CASE</v>
      </c>
      <c r="C58" s="3">
        <f>_xlfn.XLOOKUP(A58,'2025 NOV'!A:A,'2025 NOV'!G:G)</f>
        <v>65.418869622999836</v>
      </c>
      <c r="D58" s="3">
        <f>_xlfn.XLOOKUP(A58,'2026'!A:A,'2026'!L:L)</f>
        <v>65.418869622999836</v>
      </c>
      <c r="E58" s="2">
        <f t="shared" si="1"/>
        <v>0</v>
      </c>
    </row>
    <row r="59" spans="1:5" x14ac:dyDescent="0.2">
      <c r="A59" t="s">
        <v>97</v>
      </c>
      <c r="B59" t="str">
        <f>_xlfn.XLOOKUP(A59,'2026'!A:A,'2026'!B:B)</f>
        <v> LEITOR COD BARRAS 2D USB CBR2D-C CASE</v>
      </c>
      <c r="C59" s="3">
        <f>_xlfn.XLOOKUP(A59,'2025 NOV'!A:A,'2025 NOV'!G:G)</f>
        <v>45.765072774295433</v>
      </c>
      <c r="D59" s="3">
        <f>_xlfn.XLOOKUP(A59,'2026'!A:A,'2026'!L:L)</f>
        <v>45.765072774295447</v>
      </c>
      <c r="E59" s="2">
        <f t="shared" si="1"/>
        <v>3.1051747224979223E-16</v>
      </c>
    </row>
    <row r="60" spans="1:5" x14ac:dyDescent="0.2">
      <c r="A60" t="s">
        <v>98</v>
      </c>
      <c r="B60" t="str">
        <f>_xlfn.XLOOKUP(A60,'2026'!A:A,'2026'!B:B)</f>
        <v>LEITOR DE CODIGO DE BARRAS CBR2D-C USB/SERIAL</v>
      </c>
      <c r="C60" s="3">
        <f>_xlfn.XLOOKUP(A60,'2025 NOV'!A:A,'2025 NOV'!G:G)</f>
        <v>59.3972221113196</v>
      </c>
      <c r="D60" s="3">
        <f>_xlfn.XLOOKUP(A60,'2026'!A:A,'2026'!L:L)</f>
        <v>59.397222111319593</v>
      </c>
      <c r="E60" s="2">
        <f t="shared" si="1"/>
        <v>-1.1962558357164128E-16</v>
      </c>
    </row>
    <row r="61" spans="1:5" x14ac:dyDescent="0.2">
      <c r="A61" t="s">
        <v>99</v>
      </c>
      <c r="B61" t="str">
        <f>_xlfn.XLOOKUP(A61,'2026'!A:A,'2026'!B:B)</f>
        <v> CABO SERIAL DB9/RJ45 PARA LEITOR CBR2D-C 2M</v>
      </c>
      <c r="C61" s="3">
        <f>_xlfn.XLOOKUP(A61,'2025 NOV'!A:A,'2025 NOV'!G:G)</f>
        <v>8.4345952563776123</v>
      </c>
      <c r="D61" s="3">
        <f>_xlfn.XLOOKUP(A61,'2026'!A:A,'2026'!L:L)</f>
        <v>8.4345952563776425</v>
      </c>
      <c r="E61" s="2">
        <f t="shared" si="1"/>
        <v>3.5802626387995003E-15</v>
      </c>
    </row>
    <row r="62" spans="1:5" x14ac:dyDescent="0.2">
      <c r="A62" t="s">
        <v>100</v>
      </c>
      <c r="B62" t="str">
        <f>_xlfn.XLOOKUP(A62,'2026'!A:A,'2026'!B:B)</f>
        <v>LEITOR DE CODIGO DE BARRAS CBR2D-T USB</v>
      </c>
      <c r="C62" s="3">
        <f>_xlfn.XLOOKUP(A62,'2025 NOV'!A:A,'2025 NOV'!G:G)</f>
        <v>120.74189412792836</v>
      </c>
      <c r="D62" s="3">
        <f>_xlfn.XLOOKUP(A62,'2026'!A:A,'2026'!L:L)</f>
        <v>120.74189412792846</v>
      </c>
      <c r="E62" s="2">
        <f t="shared" si="1"/>
        <v>8.2387297072727145E-16</v>
      </c>
    </row>
    <row r="63" spans="1:5" x14ac:dyDescent="0.2">
      <c r="A63" t="s">
        <v>101</v>
      </c>
      <c r="B63" t="str">
        <f>_xlfn.XLOOKUP(A63,'2026'!A:A,'2026'!B:B)</f>
        <v>CABO SERIAL DB9/RJ45 PARA LEITOR CBR2D-T 2M</v>
      </c>
      <c r="C63" s="3">
        <f>_xlfn.XLOOKUP(A63,'2025 NOV'!A:A,'2025 NOV'!G:G)</f>
        <v>7.7011521906056455</v>
      </c>
      <c r="D63" s="3">
        <f>_xlfn.XLOOKUP(A63,'2026'!A:A,'2026'!L:L)</f>
        <v>7.7011521906056428</v>
      </c>
      <c r="E63" s="2">
        <f t="shared" si="1"/>
        <v>-3.459917676150778E-16</v>
      </c>
    </row>
    <row r="64" spans="1:5" x14ac:dyDescent="0.2">
      <c r="A64" t="s">
        <v>102</v>
      </c>
      <c r="B64" t="str">
        <f>_xlfn.XLOOKUP(A64,'2026'!A:A,'2026'!B:B)</f>
        <v>CABO SERIAL DB9/RJ45 PARA LEITOR CBR2D-V 2M</v>
      </c>
      <c r="C64" s="3" t="e">
        <f>_xlfn.XLOOKUP(A64,'2025 NOV'!A:A,'2025 NOV'!G:G)</f>
        <v>#N/A</v>
      </c>
      <c r="D64" s="3">
        <f>_xlfn.XLOOKUP(A64,'2026'!A:A,'2026'!L:L)</f>
        <v>8.4538084574172352</v>
      </c>
      <c r="E64" s="2" t="e">
        <f t="shared" si="1"/>
        <v>#N/A</v>
      </c>
    </row>
    <row r="65" spans="1:5" x14ac:dyDescent="0.2">
      <c r="A65" t="s">
        <v>103</v>
      </c>
      <c r="B65" t="str">
        <f>_xlfn.XLOOKUP(A65,'2026'!A:A,'2026'!B:B)</f>
        <v>CTM-0700 OF MONITOR DE VIDEO 7" COM TOUCH PCAP</v>
      </c>
      <c r="C65" s="3">
        <f>_xlfn.XLOOKUP(A65,'2025 NOV'!A:A,'2025 NOV'!G:G)</f>
        <v>186.29011160965777</v>
      </c>
      <c r="D65" s="3">
        <f>_xlfn.XLOOKUP(A65,'2026'!A:A,'2026'!L:L)</f>
        <v>186.29011160965771</v>
      </c>
      <c r="E65" s="2">
        <f t="shared" si="1"/>
        <v>-3.051338494010602E-16</v>
      </c>
    </row>
    <row r="66" spans="1:5" x14ac:dyDescent="0.2">
      <c r="A66" t="s">
        <v>104</v>
      </c>
      <c r="B66" t="str">
        <f>_xlfn.XLOOKUP(A66,'2026'!A:A,'2026'!B:B)</f>
        <v>CTM-0700 OF MONITOR DE VIDEO 7" NO TOUCH PCAP</v>
      </c>
      <c r="C66" s="3">
        <f>_xlfn.XLOOKUP(A66,'2025 NOV'!A:A,'2025 NOV'!G:G)</f>
        <v>129.48950188645722</v>
      </c>
      <c r="D66" s="3">
        <f>_xlfn.XLOOKUP(A66,'2026'!A:A,'2026'!L:L)</f>
        <v>129.48950188645691</v>
      </c>
      <c r="E66" s="2">
        <f t="shared" ref="E66:E87" si="2">(D66-C66)/C66</f>
        <v>-2.4143949832209657E-15</v>
      </c>
    </row>
    <row r="67" spans="1:5" x14ac:dyDescent="0.2">
      <c r="A67" t="s">
        <v>105</v>
      </c>
      <c r="B67" t="str">
        <f>_xlfn.XLOOKUP(A67,'2026'!A:A,'2026'!B:B)</f>
        <v>CTM-1010 OF MONITOR DE VIDEO 10.1" COM TOUCH PCAP</v>
      </c>
      <c r="C67" s="3">
        <f>_xlfn.XLOOKUP(A67,'2025 NOV'!A:A,'2025 NOV'!G:G)</f>
        <v>187.91</v>
      </c>
      <c r="D67" s="3">
        <f>_xlfn.XLOOKUP(A67,'2026'!A:A,'2026'!L:L)</f>
        <v>187.90599598680407</v>
      </c>
      <c r="E67" s="2">
        <f t="shared" si="2"/>
        <v>-2.1308143238382588E-5</v>
      </c>
    </row>
    <row r="68" spans="1:5" x14ac:dyDescent="0.2">
      <c r="A68" t="s">
        <v>106</v>
      </c>
      <c r="B68" t="str">
        <f>_xlfn.XLOOKUP(A68,'2026'!A:A,'2026'!B:B)</f>
        <v>CTM-1010 OF MONITOR DE VIDEO 10.1" NO TOUCH</v>
      </c>
      <c r="C68" s="3">
        <f>_xlfn.XLOOKUP(A68,'2025 NOV'!A:A,'2025 NOV'!G:G)</f>
        <v>146.93999999999997</v>
      </c>
      <c r="D68" s="3">
        <f>_xlfn.XLOOKUP(A68,'2026'!A:A,'2026'!L:L)</f>
        <v>146.94378924919593</v>
      </c>
      <c r="E68" s="2">
        <f t="shared" si="2"/>
        <v>2.5787731019198451E-5</v>
      </c>
    </row>
    <row r="69" spans="1:5" x14ac:dyDescent="0.2">
      <c r="A69" t="s">
        <v>108</v>
      </c>
      <c r="B69" t="str">
        <f>_xlfn.XLOOKUP(A69,'2026'!A:A,'2026'!B:B)</f>
        <v>CTM-1500 OF MONITOR DE VIDEO 15" COM TOUCH PCAP</v>
      </c>
      <c r="C69" s="3">
        <f>_xlfn.XLOOKUP(A69,'2025 NOV'!A:A,'2025 NOV'!G:G)</f>
        <v>275.07917104520072</v>
      </c>
      <c r="D69" s="3">
        <f>_xlfn.XLOOKUP(A69,'2026'!A:A,'2026'!L:L)</f>
        <v>275.07917104520078</v>
      </c>
      <c r="E69" s="2">
        <f t="shared" si="2"/>
        <v>2.0664384964090052E-16</v>
      </c>
    </row>
    <row r="70" spans="1:5" x14ac:dyDescent="0.2">
      <c r="A70" t="s">
        <v>109</v>
      </c>
      <c r="B70" t="str">
        <f>_xlfn.XLOOKUP(A70,'2026'!A:A,'2026'!B:B)</f>
        <v>CTM-1560 OF MONITOR DE VIDEO 15.6" COM TOUCH PCAP</v>
      </c>
      <c r="C70" s="3">
        <f>_xlfn.XLOOKUP(A70,'2025 NOV'!A:A,'2025 NOV'!G:G)</f>
        <v>325.09356578069179</v>
      </c>
      <c r="D70" s="3">
        <f>_xlfn.XLOOKUP(A70,'2026'!A:A,'2026'!L:L)</f>
        <v>326.55</v>
      </c>
      <c r="E70" s="2">
        <f t="shared" si="2"/>
        <v>4.4800462777867837E-3</v>
      </c>
    </row>
    <row r="71" spans="1:5" x14ac:dyDescent="0.2">
      <c r="A71" t="s">
        <v>110</v>
      </c>
      <c r="B71" t="str">
        <f>_xlfn.XLOOKUP(A71,'2026'!A:A,'2026'!B:B)</f>
        <v>CTM-1700 OF MONITOR DE VIDEO 17" COM TOUCH PCAP</v>
      </c>
      <c r="C71" s="3">
        <f>_xlfn.XLOOKUP(A71,'2025 NOV'!A:A,'2025 NOV'!G:G)</f>
        <v>387.56809644881093</v>
      </c>
      <c r="D71" s="3">
        <f>_xlfn.XLOOKUP(A71,'2026'!A:A,'2026'!L:L)</f>
        <v>387.56809644881139</v>
      </c>
      <c r="E71" s="2">
        <f t="shared" si="2"/>
        <v>1.1733353572009662E-15</v>
      </c>
    </row>
    <row r="72" spans="1:5" x14ac:dyDescent="0.2">
      <c r="A72" t="s">
        <v>111</v>
      </c>
      <c r="B72" t="str">
        <f>_xlfn.XLOOKUP(A72,'2026'!A:A,'2026'!B:B)</f>
        <v>CTM-1850 OF MONITOR DE VIDEO 18.5" COM TOUCH PCAP</v>
      </c>
      <c r="C72" s="3">
        <f>_xlfn.XLOOKUP(A72,'2025 NOV'!A:A,'2025 NOV'!G:G)</f>
        <v>352.83051451806131</v>
      </c>
      <c r="D72" s="3">
        <f>_xlfn.XLOOKUP(A72,'2026'!A:A,'2026'!L:L)</f>
        <v>352.83051451806097</v>
      </c>
      <c r="E72" s="2">
        <f t="shared" si="2"/>
        <v>-9.6664120344213958E-16</v>
      </c>
    </row>
    <row r="73" spans="1:5" x14ac:dyDescent="0.2">
      <c r="A73" t="s">
        <v>112</v>
      </c>
      <c r="B73" t="str">
        <f>_xlfn.XLOOKUP(A73,'2026'!A:A,'2026'!B:B)</f>
        <v>CTM-2150 OF MONITOR DE VIDEO 21.5" COM TOUCH PCAP</v>
      </c>
      <c r="C73" s="3">
        <f>_xlfn.XLOOKUP(A73,'2025 NOV'!A:A,'2025 NOV'!G:G)</f>
        <v>414.32276146913676</v>
      </c>
      <c r="D73" s="3">
        <f>_xlfn.XLOOKUP(A73,'2026'!A:A,'2026'!L:L)</f>
        <v>414.32276146913659</v>
      </c>
      <c r="E73" s="2">
        <f t="shared" si="2"/>
        <v>-4.1158795132988846E-16</v>
      </c>
    </row>
    <row r="74" spans="1:5" x14ac:dyDescent="0.2">
      <c r="A74" t="s">
        <v>113</v>
      </c>
      <c r="B74" t="str">
        <f>_xlfn.XLOOKUP(A74,'2026'!A:A,'2026'!B:B)</f>
        <v>CTM-2380 OF MONITOR DE VIDEO 23.8" COM TOUCH PCAP</v>
      </c>
      <c r="C74" s="3">
        <f>_xlfn.XLOOKUP(A74,'2025 NOV'!A:A,'2025 NOV'!G:G)</f>
        <v>401.43686956644115</v>
      </c>
      <c r="D74" s="3">
        <f>_xlfn.XLOOKUP(A74,'2026'!A:A,'2026'!L:L)</f>
        <v>401.4390243902439</v>
      </c>
      <c r="E74" s="2">
        <f t="shared" si="2"/>
        <v>5.3677775165049933E-6</v>
      </c>
    </row>
    <row r="75" spans="1:5" x14ac:dyDescent="0.2">
      <c r="A75" t="s">
        <v>114</v>
      </c>
      <c r="B75" t="str">
        <f>_xlfn.XLOOKUP(A75,'2026'!A:A,'2026'!B:B)</f>
        <v>CTM-2700 OF MONITOR DE VIDEO 27" COM TOUCH PCAP</v>
      </c>
      <c r="C75" s="3">
        <f>_xlfn.XLOOKUP(A75,'2025 NOV'!A:A,'2025 NOV'!G:G)</f>
        <v>614.21457121193066</v>
      </c>
      <c r="D75" s="3">
        <f>_xlfn.XLOOKUP(A75,'2026'!A:A,'2026'!L:L)</f>
        <v>533.86033519316584</v>
      </c>
      <c r="E75" s="2">
        <f t="shared" si="2"/>
        <v>-0.13082437275985614</v>
      </c>
    </row>
    <row r="76" spans="1:5" x14ac:dyDescent="0.2">
      <c r="A76" t="s">
        <v>115</v>
      </c>
      <c r="B76" t="str">
        <f>_xlfn.XLOOKUP(A76,'2026'!A:A,'2026'!B:B)</f>
        <v>CTM-3200 OF MONITOR DE VIDEO 32" COM TOUCH PCAP</v>
      </c>
      <c r="C76" s="3">
        <f>_xlfn.XLOOKUP(A76,'2025 NOV'!A:A,'2025 NOV'!G:G)</f>
        <v>769.65570594809014</v>
      </c>
      <c r="D76" s="3">
        <f>_xlfn.XLOOKUP(A76,'2026'!A:A,'2026'!L:L)</f>
        <v>769.65570594809026</v>
      </c>
      <c r="E76" s="2">
        <f t="shared" si="2"/>
        <v>1.4771129070182416E-16</v>
      </c>
    </row>
    <row r="77" spans="1:5" x14ac:dyDescent="0.2">
      <c r="A77" t="s">
        <v>116</v>
      </c>
      <c r="B77" t="str">
        <f>_xlfn.XLOOKUP(A77,'2026'!A:A,'2026'!B:B)</f>
        <v>CTM-5500 OF MONITOR DE VIDEO 55" COM TOUCH PCAP</v>
      </c>
      <c r="C77" s="3">
        <f>_xlfn.XLOOKUP(A77,'2025 NOV'!A:A,'2025 NOV'!G:G)</f>
        <v>1576.0296568377375</v>
      </c>
      <c r="D77" s="3">
        <f>_xlfn.XLOOKUP(A77,'2026'!A:A,'2026'!L:L)</f>
        <v>1576.0296568377398</v>
      </c>
      <c r="E77" s="2">
        <f t="shared" si="2"/>
        <v>1.4426992186140164E-15</v>
      </c>
    </row>
    <row r="78" spans="1:5" x14ac:dyDescent="0.2">
      <c r="B78" t="s">
        <v>454</v>
      </c>
      <c r="C78" s="3" t="e">
        <f>_xlfn.XLOOKUP(A78,'2025 NOV'!A:A,'2025 NOV'!G:G)</f>
        <v>#N/A</v>
      </c>
      <c r="D78" s="3">
        <f>_xlfn.XLOOKUP(A78,'2026'!A:A,'2026'!L:L)</f>
        <v>205.02495685358781</v>
      </c>
      <c r="E78" s="2" t="e">
        <f t="shared" si="2"/>
        <v>#N/A</v>
      </c>
    </row>
    <row r="79" spans="1:5" x14ac:dyDescent="0.2">
      <c r="B79" t="s">
        <v>455</v>
      </c>
      <c r="C79" s="3" t="e">
        <f>_xlfn.XLOOKUP(A79,'2025 NOV'!A:A,'2025 NOV'!G:G)</f>
        <v>#N/A</v>
      </c>
      <c r="D79" s="3">
        <f>_xlfn.XLOOKUP(A79,'2026'!A:A,'2026'!L:L)</f>
        <v>205.02495685358781</v>
      </c>
      <c r="E79" s="2" t="e">
        <f t="shared" si="2"/>
        <v>#N/A</v>
      </c>
    </row>
    <row r="80" spans="1:5" x14ac:dyDescent="0.2">
      <c r="A80" t="s">
        <v>118</v>
      </c>
      <c r="B80" t="str">
        <f>_xlfn.XLOOKUP(A80,'2026'!A:A,'2026'!B:B)</f>
        <v>CTM-1010 OF MONITOR DE VIDEO 10.1" COM TOUCH PCAP + PEDESTAL</v>
      </c>
      <c r="C80" s="3">
        <f>_xlfn.XLOOKUP(A80,'2025 NOV'!A:A,'2025 NOV'!G:G)</f>
        <v>208.01195749718858</v>
      </c>
      <c r="D80" s="3">
        <f>_xlfn.XLOOKUP(A80,'2026'!A:A,'2026'!L:L)</f>
        <v>208.01195749718863</v>
      </c>
      <c r="E80" s="2">
        <f t="shared" si="2"/>
        <v>2.7326995786564961E-16</v>
      </c>
    </row>
    <row r="81" spans="1:5" x14ac:dyDescent="0.2">
      <c r="A81" t="s">
        <v>119</v>
      </c>
      <c r="B81" t="str">
        <f>_xlfn.XLOOKUP(A81,'2026'!A:A,'2026'!B:B)</f>
        <v>CTM-1010 OF MONITOR DE VIDEO 10.1" NO TOUCH PCAP + PEDESTAL</v>
      </c>
      <c r="C81" s="3">
        <f>_xlfn.XLOOKUP(A81,'2025 NOV'!A:A,'2025 NOV'!G:G)</f>
        <v>213.10616827051982</v>
      </c>
      <c r="D81" s="3">
        <f>_xlfn.XLOOKUP(A81,'2026'!A:A,'2026'!L:L)</f>
        <v>213.1061682705195</v>
      </c>
      <c r="E81" s="2">
        <f t="shared" si="2"/>
        <v>-1.4670565674925759E-15</v>
      </c>
    </row>
    <row r="82" spans="1:5" x14ac:dyDescent="0.2">
      <c r="A82" t="s">
        <v>120</v>
      </c>
      <c r="B82" t="str">
        <f>_xlfn.XLOOKUP(A82,'2026'!A:A,'2026'!B:B)</f>
        <v>CTM-1500 OF MONITOR DE VIDEO 15" COM TOUCH PCAP + PEDESTAL</v>
      </c>
      <c r="C82" s="3">
        <f>_xlfn.XLOOKUP(A82,'2025 NOV'!A:A,'2025 NOV'!G:G)</f>
        <v>318.4052295860028</v>
      </c>
      <c r="D82" s="3">
        <f>_xlfn.XLOOKUP(A82,'2026'!A:A,'2026'!L:L)</f>
        <v>318.40522958600246</v>
      </c>
      <c r="E82" s="2">
        <f t="shared" si="2"/>
        <v>-1.0711523601804599E-15</v>
      </c>
    </row>
    <row r="83" spans="1:5" x14ac:dyDescent="0.2">
      <c r="A83" t="s">
        <v>121</v>
      </c>
      <c r="B83" t="str">
        <f>_xlfn.XLOOKUP(A83,'2026'!A:A,'2026'!B:B)</f>
        <v>CTM-1560 OF MONITOR DE VIDEO 15.6" COM TOUCH PCAP + PEDESTAL</v>
      </c>
      <c r="C83" s="3">
        <f>_xlfn.XLOOKUP(A83,'2025 NOV'!A:A,'2025 NOV'!G:G)</f>
        <v>327.37255702199246</v>
      </c>
      <c r="D83" s="3">
        <f>_xlfn.XLOOKUP(A83,'2026'!A:A,'2026'!L:L)</f>
        <v>327.37255702199269</v>
      </c>
      <c r="E83" s="2">
        <f t="shared" si="2"/>
        <v>6.9454103762264159E-16</v>
      </c>
    </row>
    <row r="84" spans="1:5" x14ac:dyDescent="0.2">
      <c r="A84" t="s">
        <v>170</v>
      </c>
      <c r="B84" t="s">
        <v>238</v>
      </c>
      <c r="C84" s="3">
        <v>411.7</v>
      </c>
      <c r="D84" s="3">
        <v>411.7</v>
      </c>
      <c r="E84" s="2">
        <f t="shared" si="2"/>
        <v>0</v>
      </c>
    </row>
    <row r="85" spans="1:5" x14ac:dyDescent="0.2">
      <c r="A85" t="s">
        <v>122</v>
      </c>
      <c r="B85" t="str">
        <f>_xlfn.XLOOKUP(A85,'2026'!A:A,'2026'!B:B)</f>
        <v>CTM-1850 OF MONITOR DE VIDEO 18.5" COM TOUCH PCAP + PEDESTAL</v>
      </c>
      <c r="C85" s="3">
        <f>_xlfn.XLOOKUP(A85,'2025 NOV'!A:A,'2025 NOV'!G:G)</f>
        <v>390.32578704920485</v>
      </c>
      <c r="D85" s="3">
        <f>_xlfn.XLOOKUP(A85,'2026'!A:A,'2026'!L:L)</f>
        <v>390.32578704920491</v>
      </c>
      <c r="E85" s="2">
        <f t="shared" si="2"/>
        <v>1.4563070324032238E-16</v>
      </c>
    </row>
    <row r="86" spans="1:5" x14ac:dyDescent="0.2">
      <c r="A86" t="s">
        <v>123</v>
      </c>
      <c r="B86" t="str">
        <f>_xlfn.XLOOKUP(A86,'2026'!A:A,'2026'!B:B)</f>
        <v>PEDESTAL ARTICULADO PARA MONITOR 7", 10.1" E 15.6 LITE</v>
      </c>
      <c r="C86" s="3">
        <f>_xlfn.XLOOKUP(A86,'2025 NOV'!A:A,'2025 NOV'!G:G)</f>
        <v>44.455284552845526</v>
      </c>
      <c r="D86" s="3">
        <f>_xlfn.XLOOKUP(A86,'2026'!A:A,'2026'!L:L)</f>
        <v>44.453279878954554</v>
      </c>
      <c r="E86" s="2">
        <f t="shared" si="2"/>
        <v>-4.5094163970307559E-5</v>
      </c>
    </row>
    <row r="87" spans="1:5" x14ac:dyDescent="0.2">
      <c r="A87" t="s">
        <v>124</v>
      </c>
      <c r="B87" t="str">
        <f>_xlfn.XLOOKUP(A87,'2026'!A:A,'2026'!B:B)</f>
        <v>PEDESTAL ARTICULADO PARA MONITOR CTM DE 15" A 18.5"</v>
      </c>
      <c r="C87" s="3">
        <f>_xlfn.XLOOKUP(A87,'2025 NOV'!A:A,'2025 NOV'!G:G)</f>
        <v>59.69105691056911</v>
      </c>
      <c r="D87" s="3">
        <f>_xlfn.XLOOKUP(A87,'2026'!A:A,'2026'!L:L)</f>
        <v>59.694404408881788</v>
      </c>
      <c r="E87" s="2">
        <f t="shared" si="2"/>
        <v>5.6080399408797856E-5</v>
      </c>
    </row>
  </sheetData>
  <autoFilter ref="A1:E87" xr:uid="{D1C875C2-67C0-AB41-92FE-65A7508BD5AF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1A26-0CEF-BB49-9EC8-8C2AD2BA1772}">
  <dimension ref="A1:Y81"/>
  <sheetViews>
    <sheetView tabSelected="1" workbookViewId="0">
      <selection activeCell="J27" sqref="J27"/>
    </sheetView>
  </sheetViews>
  <sheetFormatPr baseColWidth="10" defaultRowHeight="16" x14ac:dyDescent="0.2"/>
  <cols>
    <col min="1" max="1" width="16.5" bestFit="1" customWidth="1"/>
    <col min="2" max="2" width="41" customWidth="1"/>
    <col min="4" max="4" width="10.83203125" style="14"/>
    <col min="5" max="5" width="12.1640625" style="14" customWidth="1"/>
    <col min="6" max="6" width="10.83203125" style="15"/>
    <col min="7" max="7" width="10.83203125" style="16"/>
    <col min="8" max="8" width="9.1640625" customWidth="1"/>
    <col min="9" max="9" width="14.1640625" customWidth="1"/>
    <col min="10" max="10" width="8.33203125" customWidth="1"/>
    <col min="11" max="11" width="9.1640625" customWidth="1"/>
    <col min="12" max="15" width="10.83203125" style="3"/>
    <col min="16" max="16" width="13" style="3" customWidth="1"/>
    <col min="17" max="17" width="15.5" style="3" customWidth="1"/>
    <col min="18" max="18" width="16" customWidth="1"/>
    <col min="19" max="19" width="13" customWidth="1"/>
    <col min="20" max="20" width="15.33203125" customWidth="1"/>
    <col min="21" max="21" width="15.83203125" customWidth="1"/>
    <col min="22" max="22" width="17.6640625" customWidth="1"/>
    <col min="23" max="23" width="15.6640625" customWidth="1"/>
  </cols>
  <sheetData>
    <row r="1" spans="1:25" x14ac:dyDescent="0.2">
      <c r="A1" s="17" t="s">
        <v>0</v>
      </c>
      <c r="B1" s="18" t="s">
        <v>27</v>
      </c>
      <c r="C1" s="18" t="s">
        <v>394</v>
      </c>
      <c r="D1" s="18" t="s">
        <v>28</v>
      </c>
      <c r="E1" s="18" t="s">
        <v>29</v>
      </c>
      <c r="F1" s="19" t="s">
        <v>30</v>
      </c>
      <c r="G1" s="20" t="s">
        <v>445</v>
      </c>
      <c r="H1" s="21" t="s">
        <v>395</v>
      </c>
      <c r="I1" s="21" t="s">
        <v>442</v>
      </c>
      <c r="J1" s="21" t="s">
        <v>443</v>
      </c>
      <c r="K1" s="22" t="s">
        <v>444</v>
      </c>
      <c r="L1" s="23" t="s">
        <v>31</v>
      </c>
      <c r="M1" s="24" t="s">
        <v>32</v>
      </c>
      <c r="N1" s="24" t="s">
        <v>33</v>
      </c>
      <c r="O1" s="24" t="s">
        <v>34</v>
      </c>
      <c r="P1" s="24" t="s">
        <v>245</v>
      </c>
      <c r="Q1" s="24" t="s">
        <v>246</v>
      </c>
      <c r="R1" s="23" t="s">
        <v>368</v>
      </c>
      <c r="S1" s="23" t="s">
        <v>370</v>
      </c>
      <c r="T1" s="23" t="s">
        <v>379</v>
      </c>
      <c r="U1" s="23" t="s">
        <v>386</v>
      </c>
      <c r="V1" s="23" t="s">
        <v>387</v>
      </c>
      <c r="W1" s="23" t="s">
        <v>390</v>
      </c>
      <c r="X1" s="23" t="s">
        <v>388</v>
      </c>
      <c r="Y1" s="25" t="s">
        <v>389</v>
      </c>
    </row>
    <row r="2" spans="1:25" x14ac:dyDescent="0.2">
      <c r="A2" t="s">
        <v>4</v>
      </c>
      <c r="B2" t="s">
        <v>517</v>
      </c>
      <c r="C2" t="s">
        <v>429</v>
      </c>
      <c r="D2" s="14" t="s">
        <v>126</v>
      </c>
      <c r="E2" s="14" t="s">
        <v>127</v>
      </c>
      <c r="F2" s="15">
        <v>0.15</v>
      </c>
      <c r="G2" s="16">
        <f>IF(D2="Sim",0.12,0.04)</f>
        <v>0.04</v>
      </c>
      <c r="L2" s="3">
        <v>259.94687906357791</v>
      </c>
      <c r="M2" s="3">
        <f>L2*1.23</f>
        <v>319.73466124820084</v>
      </c>
      <c r="N2" s="3">
        <f>L2*1.2</f>
        <v>311.9362548762935</v>
      </c>
      <c r="O2" s="3">
        <f>L2*1.17</f>
        <v>304.13784850438611</v>
      </c>
      <c r="P2" s="3">
        <f>(O2+L2)/2</f>
        <v>282.04236378398201</v>
      </c>
      <c r="Q2" s="3">
        <f>L2*1.01249086924762</f>
        <v>263.19384154128795</v>
      </c>
      <c r="S2" t="s">
        <v>378</v>
      </c>
      <c r="T2" t="s">
        <v>213</v>
      </c>
      <c r="U2">
        <v>15.6</v>
      </c>
      <c r="V2" t="s">
        <v>213</v>
      </c>
      <c r="W2" t="s">
        <v>213</v>
      </c>
      <c r="X2" t="s">
        <v>213</v>
      </c>
      <c r="Y2" t="s">
        <v>213</v>
      </c>
    </row>
    <row r="3" spans="1:25" x14ac:dyDescent="0.2">
      <c r="A3" t="s">
        <v>6</v>
      </c>
      <c r="B3" t="s">
        <v>7</v>
      </c>
      <c r="C3" t="s">
        <v>427</v>
      </c>
      <c r="D3" s="14" t="s">
        <v>126</v>
      </c>
      <c r="E3" s="14" t="s">
        <v>131</v>
      </c>
      <c r="F3" s="15">
        <v>0.15</v>
      </c>
      <c r="G3" s="16">
        <f t="shared" ref="G3:G66" si="0">IF(D3="Sim",0.12,0.04)</f>
        <v>0.04</v>
      </c>
      <c r="L3" s="3">
        <v>750.79312336183364</v>
      </c>
      <c r="M3" s="3">
        <f t="shared" ref="M3:M66" si="1">L3*1.23</f>
        <v>923.47554173505534</v>
      </c>
      <c r="N3" s="3">
        <f t="shared" ref="N3:N66" si="2">L3*1.2</f>
        <v>900.95174803420036</v>
      </c>
      <c r="O3" s="3">
        <f t="shared" ref="O3:O66" si="3">L3*1.17</f>
        <v>878.42795433334527</v>
      </c>
      <c r="P3" s="3">
        <f t="shared" ref="P3:P66" si="4">(O3+L3)/2</f>
        <v>814.6105388475894</v>
      </c>
      <c r="Q3" s="3">
        <f t="shared" ref="Q3:Q66" si="5">L3*1.01249086924762</f>
        <v>760.17118209775856</v>
      </c>
      <c r="S3" t="s">
        <v>371</v>
      </c>
      <c r="T3" t="s">
        <v>380</v>
      </c>
      <c r="U3">
        <v>15.6</v>
      </c>
      <c r="V3" t="s">
        <v>213</v>
      </c>
      <c r="W3" t="s">
        <v>213</v>
      </c>
      <c r="X3">
        <v>8</v>
      </c>
      <c r="Y3">
        <v>128</v>
      </c>
    </row>
    <row r="4" spans="1:25" x14ac:dyDescent="0.2">
      <c r="A4" t="s">
        <v>10</v>
      </c>
      <c r="B4" t="s">
        <v>489</v>
      </c>
      <c r="C4" t="s">
        <v>427</v>
      </c>
      <c r="D4" s="14" t="s">
        <v>126</v>
      </c>
      <c r="E4" s="14" t="s">
        <v>131</v>
      </c>
      <c r="F4" s="15">
        <v>0.15</v>
      </c>
      <c r="G4" s="16">
        <f t="shared" si="0"/>
        <v>0.04</v>
      </c>
      <c r="L4" s="3">
        <v>847.30455756922765</v>
      </c>
      <c r="M4" s="3">
        <f t="shared" si="1"/>
        <v>1042.1846058101501</v>
      </c>
      <c r="N4" s="3">
        <f t="shared" si="2"/>
        <v>1016.7654690830732</v>
      </c>
      <c r="O4" s="3">
        <f t="shared" si="3"/>
        <v>991.34633235599631</v>
      </c>
      <c r="P4" s="3">
        <f t="shared" si="4"/>
        <v>919.32544496261198</v>
      </c>
      <c r="Q4" s="3">
        <f t="shared" si="5"/>
        <v>857.88812801073743</v>
      </c>
      <c r="S4" t="s">
        <v>371</v>
      </c>
      <c r="T4" t="s">
        <v>380</v>
      </c>
      <c r="U4">
        <v>15.6</v>
      </c>
      <c r="V4">
        <v>11.6</v>
      </c>
      <c r="W4" t="s">
        <v>392</v>
      </c>
      <c r="X4">
        <v>8</v>
      </c>
      <c r="Y4">
        <v>128</v>
      </c>
    </row>
    <row r="5" spans="1:25" x14ac:dyDescent="0.2">
      <c r="A5" t="s">
        <v>13</v>
      </c>
      <c r="B5" t="s">
        <v>490</v>
      </c>
      <c r="C5" t="s">
        <v>427</v>
      </c>
      <c r="D5" s="14" t="s">
        <v>126</v>
      </c>
      <c r="E5" s="14" t="s">
        <v>131</v>
      </c>
      <c r="F5" s="15">
        <v>0.15</v>
      </c>
      <c r="G5" s="16">
        <f t="shared" si="0"/>
        <v>0.04</v>
      </c>
      <c r="L5" s="3">
        <v>887.95623596939072</v>
      </c>
      <c r="M5" s="3">
        <f t="shared" si="1"/>
        <v>1092.1861702423505</v>
      </c>
      <c r="N5" s="3">
        <f t="shared" si="2"/>
        <v>1065.5474831632689</v>
      </c>
      <c r="O5" s="3">
        <f t="shared" si="3"/>
        <v>1038.9087960841871</v>
      </c>
      <c r="P5" s="3">
        <f t="shared" si="4"/>
        <v>963.4325160267889</v>
      </c>
      <c r="Q5" s="3">
        <f t="shared" si="5"/>
        <v>899.04758121049315</v>
      </c>
      <c r="S5" t="s">
        <v>371</v>
      </c>
      <c r="T5" t="s">
        <v>380</v>
      </c>
      <c r="U5">
        <v>15.6</v>
      </c>
      <c r="V5">
        <v>11.6</v>
      </c>
      <c r="W5" t="s">
        <v>391</v>
      </c>
      <c r="X5">
        <v>8</v>
      </c>
      <c r="Y5">
        <v>128</v>
      </c>
    </row>
    <row r="6" spans="1:25" x14ac:dyDescent="0.2">
      <c r="A6" t="s">
        <v>17</v>
      </c>
      <c r="B6" t="s">
        <v>289</v>
      </c>
      <c r="C6" t="s">
        <v>427</v>
      </c>
      <c r="D6" s="14" t="s">
        <v>126</v>
      </c>
      <c r="E6" s="14" t="s">
        <v>131</v>
      </c>
      <c r="F6" s="15">
        <v>0.15</v>
      </c>
      <c r="G6" s="16">
        <f t="shared" si="0"/>
        <v>0.04</v>
      </c>
      <c r="L6" s="3">
        <v>827.44600286392529</v>
      </c>
      <c r="M6" s="3">
        <f t="shared" si="1"/>
        <v>1017.7585835226281</v>
      </c>
      <c r="N6" s="3">
        <f t="shared" si="2"/>
        <v>992.93520343671025</v>
      </c>
      <c r="O6" s="3">
        <f t="shared" si="3"/>
        <v>968.11182335079252</v>
      </c>
      <c r="P6" s="3">
        <f t="shared" si="4"/>
        <v>897.7789131073589</v>
      </c>
      <c r="Q6" s="3">
        <f t="shared" si="5"/>
        <v>837.78152269516443</v>
      </c>
      <c r="S6" t="s">
        <v>371</v>
      </c>
      <c r="T6" t="s">
        <v>380</v>
      </c>
      <c r="U6">
        <v>15.6</v>
      </c>
      <c r="V6" t="s">
        <v>213</v>
      </c>
      <c r="W6" t="s">
        <v>213</v>
      </c>
      <c r="X6">
        <v>8</v>
      </c>
      <c r="Y6">
        <v>128</v>
      </c>
    </row>
    <row r="7" spans="1:25" x14ac:dyDescent="0.2">
      <c r="A7" t="s">
        <v>18</v>
      </c>
      <c r="B7" t="s">
        <v>140</v>
      </c>
      <c r="C7" t="s">
        <v>427</v>
      </c>
      <c r="D7" s="14" t="s">
        <v>126</v>
      </c>
      <c r="E7" s="14" t="s">
        <v>131</v>
      </c>
      <c r="F7" s="15">
        <v>0.15</v>
      </c>
      <c r="G7" s="16">
        <f t="shared" si="0"/>
        <v>0.04</v>
      </c>
      <c r="L7" s="3">
        <v>827.44600286392529</v>
      </c>
      <c r="M7" s="3">
        <f t="shared" si="1"/>
        <v>1017.7585835226281</v>
      </c>
      <c r="N7" s="3">
        <f t="shared" si="2"/>
        <v>992.93520343671025</v>
      </c>
      <c r="O7" s="3">
        <f t="shared" si="3"/>
        <v>968.11182335079252</v>
      </c>
      <c r="P7" s="3">
        <f t="shared" si="4"/>
        <v>897.7789131073589</v>
      </c>
      <c r="Q7" s="3">
        <f t="shared" si="5"/>
        <v>837.78152269516443</v>
      </c>
      <c r="S7" t="s">
        <v>371</v>
      </c>
      <c r="T7" t="s">
        <v>380</v>
      </c>
      <c r="U7">
        <v>15.6</v>
      </c>
      <c r="V7" t="s">
        <v>213</v>
      </c>
      <c r="W7" t="s">
        <v>213</v>
      </c>
      <c r="X7">
        <v>4</v>
      </c>
      <c r="Y7">
        <v>128</v>
      </c>
    </row>
    <row r="8" spans="1:25" x14ac:dyDescent="0.2">
      <c r="A8" t="s">
        <v>21</v>
      </c>
      <c r="B8" t="s">
        <v>22</v>
      </c>
      <c r="C8" t="s">
        <v>427</v>
      </c>
      <c r="D8" s="14" t="s">
        <v>126</v>
      </c>
      <c r="E8" s="14" t="s">
        <v>131</v>
      </c>
      <c r="F8" s="15">
        <v>0.15</v>
      </c>
      <c r="G8" s="16">
        <f t="shared" si="0"/>
        <v>0.04</v>
      </c>
      <c r="L8" s="3">
        <v>706.87405094718213</v>
      </c>
      <c r="M8" s="3">
        <f t="shared" si="1"/>
        <v>869.45508266503396</v>
      </c>
      <c r="N8" s="3">
        <f t="shared" si="2"/>
        <v>848.24886113661853</v>
      </c>
      <c r="O8" s="3">
        <f t="shared" si="3"/>
        <v>827.04263960820299</v>
      </c>
      <c r="P8" s="3">
        <f t="shared" si="4"/>
        <v>766.95834527769262</v>
      </c>
      <c r="Q8" s="3">
        <f t="shared" si="5"/>
        <v>715.70352229209891</v>
      </c>
      <c r="S8" t="s">
        <v>371</v>
      </c>
      <c r="T8" t="s">
        <v>380</v>
      </c>
      <c r="U8">
        <v>15.6</v>
      </c>
      <c r="V8">
        <v>11.6</v>
      </c>
      <c r="W8" t="s">
        <v>391</v>
      </c>
      <c r="X8">
        <v>4</v>
      </c>
      <c r="Y8">
        <v>128</v>
      </c>
    </row>
    <row r="9" spans="1:25" x14ac:dyDescent="0.2">
      <c r="A9" t="s">
        <v>21</v>
      </c>
      <c r="B9" t="s">
        <v>142</v>
      </c>
      <c r="C9" t="s">
        <v>427</v>
      </c>
      <c r="D9" s="14" t="s">
        <v>126</v>
      </c>
      <c r="E9" s="14" t="s">
        <v>131</v>
      </c>
      <c r="F9" s="15">
        <v>0.15</v>
      </c>
      <c r="G9" s="16">
        <f t="shared" si="0"/>
        <v>0.04</v>
      </c>
      <c r="L9" s="3">
        <v>955.67063708492333</v>
      </c>
      <c r="M9" s="3">
        <f t="shared" si="1"/>
        <v>1175.4748836144556</v>
      </c>
      <c r="N9" s="3">
        <f t="shared" si="2"/>
        <v>1146.804764501908</v>
      </c>
      <c r="O9" s="3">
        <f t="shared" si="3"/>
        <v>1118.1346453893602</v>
      </c>
      <c r="P9" s="3">
        <f t="shared" si="4"/>
        <v>1036.9026412371418</v>
      </c>
      <c r="Q9" s="3">
        <f t="shared" si="5"/>
        <v>967.6077940565408</v>
      </c>
      <c r="S9" t="s">
        <v>371</v>
      </c>
      <c r="T9" t="s">
        <v>380</v>
      </c>
      <c r="U9">
        <v>15.6</v>
      </c>
      <c r="V9">
        <v>11.6</v>
      </c>
      <c r="W9" t="s">
        <v>391</v>
      </c>
      <c r="X9">
        <v>4</v>
      </c>
      <c r="Y9">
        <v>128</v>
      </c>
    </row>
    <row r="10" spans="1:25" x14ac:dyDescent="0.2">
      <c r="A10" t="s">
        <v>41</v>
      </c>
      <c r="B10" t="s">
        <v>518</v>
      </c>
      <c r="C10" t="s">
        <v>427</v>
      </c>
      <c r="D10" s="14" t="s">
        <v>126</v>
      </c>
      <c r="E10" s="14" t="s">
        <v>131</v>
      </c>
      <c r="F10" s="15">
        <v>0.15</v>
      </c>
      <c r="G10" s="16">
        <f t="shared" si="0"/>
        <v>0.04</v>
      </c>
      <c r="L10" s="3">
        <v>1030.2252702856169</v>
      </c>
      <c r="M10" s="3">
        <f t="shared" si="1"/>
        <v>1267.1770824513089</v>
      </c>
      <c r="N10" s="3">
        <f t="shared" si="2"/>
        <v>1236.2703243427402</v>
      </c>
      <c r="O10" s="3">
        <f t="shared" si="3"/>
        <v>1205.3635662341717</v>
      </c>
      <c r="P10" s="3">
        <f t="shared" si="4"/>
        <v>1117.7944182598944</v>
      </c>
      <c r="Q10" s="3">
        <f t="shared" si="5"/>
        <v>1043.0936794323486</v>
      </c>
      <c r="S10" t="s">
        <v>371</v>
      </c>
      <c r="T10" t="s">
        <v>381</v>
      </c>
      <c r="U10">
        <v>15.6</v>
      </c>
      <c r="V10" t="s">
        <v>213</v>
      </c>
      <c r="W10" t="s">
        <v>213</v>
      </c>
      <c r="X10">
        <v>8</v>
      </c>
      <c r="Y10">
        <v>128</v>
      </c>
    </row>
    <row r="11" spans="1:25" x14ac:dyDescent="0.2">
      <c r="A11" t="s">
        <v>52</v>
      </c>
      <c r="B11" t="s">
        <v>157</v>
      </c>
      <c r="C11" t="s">
        <v>427</v>
      </c>
      <c r="D11" s="14" t="s">
        <v>126</v>
      </c>
      <c r="E11" s="14" t="s">
        <v>131</v>
      </c>
      <c r="F11" s="15">
        <v>0.15</v>
      </c>
      <c r="G11" s="16">
        <f t="shared" si="0"/>
        <v>0.04</v>
      </c>
      <c r="L11" s="3">
        <v>1040.3037758802841</v>
      </c>
      <c r="M11" s="3">
        <f t="shared" si="1"/>
        <v>1279.5736443327494</v>
      </c>
      <c r="N11" s="3">
        <f t="shared" si="2"/>
        <v>1248.3645310563409</v>
      </c>
      <c r="O11" s="3">
        <f t="shared" si="3"/>
        <v>1217.1554177799323</v>
      </c>
      <c r="P11" s="3">
        <f t="shared" si="4"/>
        <v>1128.7295968301082</v>
      </c>
      <c r="Q11" s="3">
        <f t="shared" si="5"/>
        <v>1053.2980743226101</v>
      </c>
      <c r="S11" t="s">
        <v>371</v>
      </c>
      <c r="T11" t="s">
        <v>382</v>
      </c>
      <c r="U11">
        <v>15.6</v>
      </c>
      <c r="V11" t="s">
        <v>213</v>
      </c>
      <c r="W11" t="s">
        <v>213</v>
      </c>
      <c r="X11">
        <v>8</v>
      </c>
      <c r="Y11">
        <v>256</v>
      </c>
    </row>
    <row r="12" spans="1:25" x14ac:dyDescent="0.2">
      <c r="A12" t="s">
        <v>45</v>
      </c>
      <c r="B12" t="s">
        <v>149</v>
      </c>
      <c r="C12" t="s">
        <v>427</v>
      </c>
      <c r="D12" s="14" t="s">
        <v>126</v>
      </c>
      <c r="E12" s="14" t="s">
        <v>131</v>
      </c>
      <c r="F12" s="15">
        <v>0.15</v>
      </c>
      <c r="G12" s="16">
        <f t="shared" si="0"/>
        <v>0.04</v>
      </c>
      <c r="L12" s="3">
        <v>1061.1987996533685</v>
      </c>
      <c r="M12" s="3">
        <f t="shared" si="1"/>
        <v>1305.2745235736431</v>
      </c>
      <c r="N12" s="3">
        <f t="shared" si="2"/>
        <v>1273.4385595840422</v>
      </c>
      <c r="O12" s="3">
        <f t="shared" si="3"/>
        <v>1241.602595594441</v>
      </c>
      <c r="P12" s="3">
        <f t="shared" si="4"/>
        <v>1151.4006976239048</v>
      </c>
      <c r="Q12" s="3">
        <f t="shared" si="5"/>
        <v>1074.4540951055701</v>
      </c>
      <c r="S12" t="s">
        <v>371</v>
      </c>
      <c r="T12" t="s">
        <v>382</v>
      </c>
      <c r="U12">
        <v>15.6</v>
      </c>
      <c r="V12" t="s">
        <v>213</v>
      </c>
      <c r="W12" t="s">
        <v>213</v>
      </c>
      <c r="X12">
        <v>8</v>
      </c>
      <c r="Y12">
        <v>256</v>
      </c>
    </row>
    <row r="13" spans="1:25" x14ac:dyDescent="0.2">
      <c r="A13" t="s">
        <v>50</v>
      </c>
      <c r="B13" t="s">
        <v>491</v>
      </c>
      <c r="C13" t="s">
        <v>427</v>
      </c>
      <c r="D13" s="14" t="s">
        <v>126</v>
      </c>
      <c r="E13" s="14" t="s">
        <v>131</v>
      </c>
      <c r="F13" s="15">
        <v>0.15</v>
      </c>
      <c r="G13" s="16">
        <f t="shared" si="0"/>
        <v>0.04</v>
      </c>
      <c r="L13" s="3">
        <v>1067.4471544715448</v>
      </c>
      <c r="M13" s="3">
        <f t="shared" si="1"/>
        <v>1312.96</v>
      </c>
      <c r="N13" s="3">
        <f t="shared" si="2"/>
        <v>1280.9365853658537</v>
      </c>
      <c r="O13" s="3">
        <f t="shared" si="3"/>
        <v>1248.9131707317074</v>
      </c>
      <c r="P13" s="3">
        <f t="shared" si="4"/>
        <v>1158.1801626016261</v>
      </c>
      <c r="Q13" s="3">
        <f t="shared" si="5"/>
        <v>1080.7804973067928</v>
      </c>
      <c r="S13" t="s">
        <v>371</v>
      </c>
      <c r="T13" t="s">
        <v>382</v>
      </c>
      <c r="U13">
        <v>15.6</v>
      </c>
      <c r="V13" t="s">
        <v>213</v>
      </c>
      <c r="W13" t="s">
        <v>213</v>
      </c>
      <c r="X13">
        <v>8</v>
      </c>
      <c r="Y13">
        <v>256</v>
      </c>
    </row>
    <row r="14" spans="1:25" x14ac:dyDescent="0.2">
      <c r="A14" t="s">
        <v>46</v>
      </c>
      <c r="B14" t="s">
        <v>150</v>
      </c>
      <c r="C14" t="s">
        <v>427</v>
      </c>
      <c r="D14" s="14" t="s">
        <v>126</v>
      </c>
      <c r="E14" s="14" t="s">
        <v>131</v>
      </c>
      <c r="F14" s="15">
        <v>0.15</v>
      </c>
      <c r="G14" s="16">
        <f t="shared" si="0"/>
        <v>0.04</v>
      </c>
      <c r="L14" s="3">
        <v>1157.7135547803966</v>
      </c>
      <c r="M14" s="3">
        <f t="shared" si="1"/>
        <v>1423.9876723798877</v>
      </c>
      <c r="N14" s="3">
        <f t="shared" si="2"/>
        <v>1389.2562657364758</v>
      </c>
      <c r="O14" s="3">
        <f t="shared" si="3"/>
        <v>1354.5248590930639</v>
      </c>
      <c r="P14" s="3">
        <f t="shared" si="4"/>
        <v>1256.1192069367303</v>
      </c>
      <c r="Q14" s="3">
        <f t="shared" si="5"/>
        <v>1172.1744034193559</v>
      </c>
      <c r="S14" t="s">
        <v>371</v>
      </c>
      <c r="T14" t="s">
        <v>382</v>
      </c>
      <c r="U14">
        <v>15.6</v>
      </c>
      <c r="V14">
        <v>11.6</v>
      </c>
      <c r="W14" t="s">
        <v>392</v>
      </c>
      <c r="X14">
        <v>8</v>
      </c>
      <c r="Y14">
        <v>256</v>
      </c>
    </row>
    <row r="15" spans="1:25" x14ac:dyDescent="0.2">
      <c r="A15" t="s">
        <v>48</v>
      </c>
      <c r="B15" t="s">
        <v>492</v>
      </c>
      <c r="C15" t="s">
        <v>427</v>
      </c>
      <c r="D15" s="14" t="s">
        <v>126</v>
      </c>
      <c r="E15" s="14" t="s">
        <v>131</v>
      </c>
      <c r="F15" s="15">
        <v>0.15</v>
      </c>
      <c r="G15" s="16">
        <f t="shared" si="0"/>
        <v>0.04</v>
      </c>
      <c r="L15" s="3">
        <v>1198.3012499135461</v>
      </c>
      <c r="M15" s="3">
        <f t="shared" si="1"/>
        <v>1473.9105373936618</v>
      </c>
      <c r="N15" s="3">
        <f t="shared" si="2"/>
        <v>1437.9614998962554</v>
      </c>
      <c r="O15" s="3">
        <f t="shared" si="3"/>
        <v>1402.0124623988488</v>
      </c>
      <c r="P15" s="3">
        <f t="shared" si="4"/>
        <v>1300.1568561561976</v>
      </c>
      <c r="Q15" s="3">
        <f t="shared" si="5"/>
        <v>1213.2690741454758</v>
      </c>
      <c r="S15" t="s">
        <v>371</v>
      </c>
      <c r="T15" t="s">
        <v>382</v>
      </c>
      <c r="U15">
        <v>15.6</v>
      </c>
      <c r="V15">
        <v>11.6</v>
      </c>
      <c r="W15" t="s">
        <v>391</v>
      </c>
      <c r="X15">
        <v>8</v>
      </c>
      <c r="Y15">
        <v>256</v>
      </c>
    </row>
    <row r="16" spans="1:25" x14ac:dyDescent="0.2">
      <c r="A16" t="s">
        <v>43</v>
      </c>
      <c r="B16" t="s">
        <v>493</v>
      </c>
      <c r="C16" t="s">
        <v>427</v>
      </c>
      <c r="D16" s="14" t="s">
        <v>126</v>
      </c>
      <c r="E16" s="14" t="s">
        <v>131</v>
      </c>
      <c r="F16" s="15">
        <v>0.15</v>
      </c>
      <c r="G16" s="16">
        <f t="shared" si="0"/>
        <v>0.04</v>
      </c>
      <c r="L16" s="3">
        <v>1207.8512958272283</v>
      </c>
      <c r="M16" s="3">
        <f t="shared" si="1"/>
        <v>1485.6570938674909</v>
      </c>
      <c r="N16" s="3">
        <f t="shared" si="2"/>
        <v>1449.4215549926739</v>
      </c>
      <c r="O16" s="3">
        <f t="shared" si="3"/>
        <v>1413.186016117857</v>
      </c>
      <c r="P16" s="3">
        <f t="shared" si="4"/>
        <v>1310.5186559725425</v>
      </c>
      <c r="Q16" s="3">
        <f t="shared" si="5"/>
        <v>1222.9384084339747</v>
      </c>
      <c r="S16" t="s">
        <v>371</v>
      </c>
      <c r="T16" t="s">
        <v>382</v>
      </c>
      <c r="U16">
        <v>15.6</v>
      </c>
      <c r="V16">
        <v>11.6</v>
      </c>
      <c r="W16" t="s">
        <v>391</v>
      </c>
      <c r="X16">
        <v>8</v>
      </c>
      <c r="Y16">
        <v>256</v>
      </c>
    </row>
    <row r="17" spans="1:25" x14ac:dyDescent="0.2">
      <c r="A17" t="s">
        <v>55</v>
      </c>
      <c r="B17" t="s">
        <v>494</v>
      </c>
      <c r="C17" t="s">
        <v>427</v>
      </c>
      <c r="D17" s="14" t="s">
        <v>126</v>
      </c>
      <c r="E17" s="14" t="s">
        <v>131</v>
      </c>
      <c r="F17" s="15">
        <v>0.15</v>
      </c>
      <c r="G17" s="16">
        <f t="shared" si="0"/>
        <v>0.04</v>
      </c>
      <c r="L17" s="3">
        <v>549.04474302649373</v>
      </c>
      <c r="M17" s="3">
        <f t="shared" si="1"/>
        <v>675.32503392258729</v>
      </c>
      <c r="N17" s="3">
        <f t="shared" si="2"/>
        <v>658.85369163179246</v>
      </c>
      <c r="O17" s="3">
        <f t="shared" si="3"/>
        <v>642.38234934099762</v>
      </c>
      <c r="P17" s="3">
        <f t="shared" si="4"/>
        <v>595.71354618374562</v>
      </c>
      <c r="Q17" s="3">
        <f t="shared" si="5"/>
        <v>555.90278912273084</v>
      </c>
      <c r="S17" t="s">
        <v>371</v>
      </c>
      <c r="T17" t="s">
        <v>383</v>
      </c>
      <c r="U17">
        <v>15.6</v>
      </c>
      <c r="V17" t="s">
        <v>213</v>
      </c>
      <c r="W17" t="s">
        <v>213</v>
      </c>
      <c r="X17">
        <v>2</v>
      </c>
      <c r="Y17">
        <v>16</v>
      </c>
    </row>
    <row r="18" spans="1:25" x14ac:dyDescent="0.2">
      <c r="A18" t="s">
        <v>57</v>
      </c>
      <c r="B18" t="s">
        <v>495</v>
      </c>
      <c r="C18" t="s">
        <v>427</v>
      </c>
      <c r="D18" s="14" t="s">
        <v>126</v>
      </c>
      <c r="E18" s="14" t="s">
        <v>131</v>
      </c>
      <c r="F18" s="15">
        <v>0.15</v>
      </c>
      <c r="G18" s="16">
        <f t="shared" si="0"/>
        <v>0.04</v>
      </c>
      <c r="L18" s="3">
        <v>654.28720695874563</v>
      </c>
      <c r="M18" s="3">
        <f t="shared" si="1"/>
        <v>804.77326455925709</v>
      </c>
      <c r="N18" s="3">
        <f t="shared" si="2"/>
        <v>785.14464835049478</v>
      </c>
      <c r="O18" s="3">
        <f t="shared" si="3"/>
        <v>765.51603214173235</v>
      </c>
      <c r="P18" s="3">
        <f t="shared" si="4"/>
        <v>709.90161955023905</v>
      </c>
      <c r="Q18" s="3">
        <f t="shared" si="5"/>
        <v>662.45982291125779</v>
      </c>
      <c r="S18" t="s">
        <v>371</v>
      </c>
      <c r="T18" t="s">
        <v>383</v>
      </c>
      <c r="U18">
        <v>15.6</v>
      </c>
      <c r="V18">
        <v>11.6</v>
      </c>
      <c r="W18" t="s">
        <v>392</v>
      </c>
      <c r="X18">
        <v>2</v>
      </c>
      <c r="Y18">
        <v>16</v>
      </c>
    </row>
    <row r="19" spans="1:25" x14ac:dyDescent="0.2">
      <c r="A19" t="s">
        <v>56</v>
      </c>
      <c r="B19" t="s">
        <v>161</v>
      </c>
      <c r="C19" t="s">
        <v>427</v>
      </c>
      <c r="D19" s="14" t="s">
        <v>126</v>
      </c>
      <c r="E19" s="14" t="s">
        <v>131</v>
      </c>
      <c r="F19" s="15">
        <v>0.15</v>
      </c>
      <c r="G19" s="16">
        <f t="shared" si="0"/>
        <v>0.04</v>
      </c>
      <c r="L19" s="3">
        <v>694.97476265034175</v>
      </c>
      <c r="M19" s="3">
        <f t="shared" si="1"/>
        <v>854.81895805992031</v>
      </c>
      <c r="N19" s="3">
        <f t="shared" si="2"/>
        <v>833.96971518041005</v>
      </c>
      <c r="O19" s="3">
        <f t="shared" si="3"/>
        <v>813.12047230089979</v>
      </c>
      <c r="P19" s="3">
        <f t="shared" si="4"/>
        <v>754.04761747562077</v>
      </c>
      <c r="Q19" s="3">
        <f t="shared" si="5"/>
        <v>703.65560154100285</v>
      </c>
      <c r="S19" t="s">
        <v>371</v>
      </c>
      <c r="T19" t="s">
        <v>383</v>
      </c>
      <c r="U19">
        <v>15.6</v>
      </c>
      <c r="V19">
        <v>11.6</v>
      </c>
      <c r="W19" t="s">
        <v>391</v>
      </c>
      <c r="X19">
        <v>2</v>
      </c>
      <c r="Y19">
        <v>32</v>
      </c>
    </row>
    <row r="20" spans="1:25" x14ac:dyDescent="0.2">
      <c r="A20" t="s">
        <v>58</v>
      </c>
      <c r="B20" t="s">
        <v>496</v>
      </c>
      <c r="C20" t="s">
        <v>427</v>
      </c>
      <c r="D20" s="14" t="s">
        <v>126</v>
      </c>
      <c r="E20" s="14" t="s">
        <v>131</v>
      </c>
      <c r="F20" s="15">
        <v>0.15</v>
      </c>
      <c r="G20" s="16">
        <f t="shared" si="0"/>
        <v>0.04</v>
      </c>
      <c r="L20" s="3">
        <v>638.86178861788619</v>
      </c>
      <c r="M20" s="3">
        <f t="shared" si="1"/>
        <v>785.8</v>
      </c>
      <c r="N20" s="3">
        <f t="shared" si="2"/>
        <v>766.63414634146341</v>
      </c>
      <c r="O20" s="3">
        <f t="shared" si="3"/>
        <v>747.46829268292674</v>
      </c>
      <c r="P20" s="3">
        <f t="shared" si="4"/>
        <v>693.16504065040647</v>
      </c>
      <c r="Q20" s="3">
        <f t="shared" si="5"/>
        <v>646.84172768681287</v>
      </c>
      <c r="S20" t="s">
        <v>371</v>
      </c>
      <c r="T20" t="s">
        <v>383</v>
      </c>
      <c r="U20">
        <v>15.6</v>
      </c>
      <c r="V20" t="s">
        <v>213</v>
      </c>
      <c r="W20" t="s">
        <v>213</v>
      </c>
      <c r="X20">
        <v>4</v>
      </c>
      <c r="Y20">
        <v>16</v>
      </c>
    </row>
    <row r="21" spans="1:25" x14ac:dyDescent="0.2">
      <c r="A21" t="s">
        <v>59</v>
      </c>
      <c r="B21" t="s">
        <v>497</v>
      </c>
      <c r="C21" t="s">
        <v>427</v>
      </c>
      <c r="D21" s="14" t="s">
        <v>126</v>
      </c>
      <c r="E21" s="14" t="s">
        <v>131</v>
      </c>
      <c r="F21" s="15">
        <v>0.15</v>
      </c>
      <c r="G21" s="16">
        <f t="shared" si="0"/>
        <v>0.04</v>
      </c>
      <c r="L21" s="3">
        <v>669.01808363799603</v>
      </c>
      <c r="M21" s="3">
        <f t="shared" si="1"/>
        <v>822.89224287473508</v>
      </c>
      <c r="N21" s="3">
        <f t="shared" si="2"/>
        <v>802.82170036559523</v>
      </c>
      <c r="O21" s="3">
        <f t="shared" si="3"/>
        <v>782.75115785645528</v>
      </c>
      <c r="P21" s="3">
        <f t="shared" si="4"/>
        <v>725.88462074722565</v>
      </c>
      <c r="Q21" s="3">
        <f t="shared" si="5"/>
        <v>677.37470104501153</v>
      </c>
      <c r="S21" t="s">
        <v>371</v>
      </c>
      <c r="T21" t="s">
        <v>383</v>
      </c>
      <c r="U21">
        <v>15.6</v>
      </c>
      <c r="V21">
        <v>11.6</v>
      </c>
      <c r="W21" t="s">
        <v>391</v>
      </c>
      <c r="X21">
        <v>2</v>
      </c>
      <c r="Y21">
        <v>32</v>
      </c>
    </row>
    <row r="22" spans="1:25" x14ac:dyDescent="0.2">
      <c r="A22" t="s">
        <v>59</v>
      </c>
      <c r="B22" t="s">
        <v>166</v>
      </c>
      <c r="C22" t="s">
        <v>427</v>
      </c>
      <c r="D22" s="14" t="s">
        <v>126</v>
      </c>
      <c r="E22" s="14" t="s">
        <v>131</v>
      </c>
      <c r="F22" s="15">
        <v>0.15</v>
      </c>
      <c r="G22" s="16">
        <f t="shared" si="0"/>
        <v>0.04</v>
      </c>
      <c r="L22" s="3">
        <v>790.02439024390242</v>
      </c>
      <c r="M22" s="3">
        <f t="shared" si="1"/>
        <v>971.7299999999999</v>
      </c>
      <c r="N22" s="3">
        <f t="shared" si="2"/>
        <v>948.0292682926829</v>
      </c>
      <c r="O22" s="3">
        <f t="shared" si="3"/>
        <v>924.32853658536578</v>
      </c>
      <c r="P22" s="3">
        <f t="shared" si="4"/>
        <v>857.1764634146341</v>
      </c>
      <c r="Q22" s="3">
        <f t="shared" si="5"/>
        <v>799.89248160486977</v>
      </c>
      <c r="S22" t="s">
        <v>371</v>
      </c>
      <c r="T22" t="s">
        <v>383</v>
      </c>
      <c r="U22">
        <v>15.6</v>
      </c>
      <c r="V22">
        <v>11.6</v>
      </c>
      <c r="W22" t="s">
        <v>391</v>
      </c>
      <c r="X22">
        <v>2</v>
      </c>
      <c r="Y22">
        <v>32</v>
      </c>
    </row>
    <row r="23" spans="1:25" x14ac:dyDescent="0.2">
      <c r="A23" t="s">
        <v>61</v>
      </c>
      <c r="B23" t="s">
        <v>519</v>
      </c>
      <c r="C23" t="s">
        <v>427</v>
      </c>
      <c r="D23" s="14" t="s">
        <v>126</v>
      </c>
      <c r="E23" s="14" t="s">
        <v>131</v>
      </c>
      <c r="F23" s="15">
        <v>0.15</v>
      </c>
      <c r="G23" s="16">
        <f t="shared" si="0"/>
        <v>0.04</v>
      </c>
      <c r="L23" s="3">
        <v>894.07631708356291</v>
      </c>
      <c r="M23" s="3">
        <f t="shared" si="1"/>
        <v>1099.7138700127823</v>
      </c>
      <c r="N23" s="3">
        <f t="shared" si="2"/>
        <v>1072.8915805002755</v>
      </c>
      <c r="O23" s="3">
        <f t="shared" si="3"/>
        <v>1046.0692909877685</v>
      </c>
      <c r="P23" s="3">
        <f t="shared" si="4"/>
        <v>970.07280403566574</v>
      </c>
      <c r="Q23" s="3">
        <f t="shared" si="5"/>
        <v>905.24410745764737</v>
      </c>
      <c r="S23" t="s">
        <v>371</v>
      </c>
      <c r="T23" t="s">
        <v>384</v>
      </c>
      <c r="U23">
        <v>15.6</v>
      </c>
      <c r="V23" t="s">
        <v>213</v>
      </c>
      <c r="W23" t="s">
        <v>213</v>
      </c>
      <c r="X23">
        <v>8</v>
      </c>
      <c r="Y23">
        <v>128</v>
      </c>
    </row>
    <row r="24" spans="1:25" x14ac:dyDescent="0.2">
      <c r="A24" t="s">
        <v>62</v>
      </c>
      <c r="B24" t="s">
        <v>498</v>
      </c>
      <c r="C24" t="s">
        <v>522</v>
      </c>
      <c r="D24" s="14" t="s">
        <v>126</v>
      </c>
      <c r="E24" s="14" t="s">
        <v>127</v>
      </c>
      <c r="F24" s="15">
        <v>0.15</v>
      </c>
      <c r="G24" s="16">
        <f t="shared" si="0"/>
        <v>0.04</v>
      </c>
      <c r="L24" s="3">
        <v>826.78638234193772</v>
      </c>
      <c r="M24" s="3">
        <f t="shared" si="1"/>
        <v>1016.9472502805834</v>
      </c>
      <c r="N24" s="3">
        <f t="shared" si="2"/>
        <v>992.14365881032518</v>
      </c>
      <c r="O24" s="3">
        <f t="shared" si="3"/>
        <v>967.34006734006709</v>
      </c>
      <c r="P24" s="3">
        <f t="shared" si="4"/>
        <v>897.06322484100247</v>
      </c>
      <c r="Q24" s="3">
        <f t="shared" si="5"/>
        <v>837.11366293948367</v>
      </c>
      <c r="S24" t="s">
        <v>371</v>
      </c>
      <c r="T24" t="s">
        <v>380</v>
      </c>
      <c r="U24">
        <v>21.5</v>
      </c>
      <c r="V24" t="s">
        <v>213</v>
      </c>
      <c r="W24" t="s">
        <v>213</v>
      </c>
      <c r="X24">
        <v>8</v>
      </c>
      <c r="Y24">
        <v>128</v>
      </c>
    </row>
    <row r="25" spans="1:25" x14ac:dyDescent="0.2">
      <c r="A25" t="s">
        <v>63</v>
      </c>
      <c r="B25" t="s">
        <v>499</v>
      </c>
      <c r="C25" t="s">
        <v>522</v>
      </c>
      <c r="D25" s="14" t="s">
        <v>126</v>
      </c>
      <c r="E25" s="14" t="s">
        <v>127</v>
      </c>
      <c r="F25" s="15">
        <v>0.15</v>
      </c>
      <c r="G25" s="16">
        <f t="shared" si="0"/>
        <v>0.04</v>
      </c>
      <c r="L25" s="3">
        <v>890.04523347957695</v>
      </c>
      <c r="M25" s="3">
        <f t="shared" si="1"/>
        <v>1094.7556371798796</v>
      </c>
      <c r="N25" s="3">
        <f t="shared" si="2"/>
        <v>1068.0542801754923</v>
      </c>
      <c r="O25" s="3">
        <f t="shared" si="3"/>
        <v>1041.352923171105</v>
      </c>
      <c r="P25" s="3">
        <f t="shared" si="4"/>
        <v>965.69907832534091</v>
      </c>
      <c r="Q25" s="3">
        <f t="shared" si="5"/>
        <v>901.16267211543777</v>
      </c>
      <c r="S25" t="s">
        <v>371</v>
      </c>
      <c r="T25" t="s">
        <v>380</v>
      </c>
      <c r="U25">
        <v>23.8</v>
      </c>
      <c r="V25" t="s">
        <v>213</v>
      </c>
      <c r="W25" t="s">
        <v>213</v>
      </c>
      <c r="X25">
        <v>8</v>
      </c>
      <c r="Y25">
        <v>128</v>
      </c>
    </row>
    <row r="26" spans="1:25" x14ac:dyDescent="0.2">
      <c r="A26" t="s">
        <v>64</v>
      </c>
      <c r="B26" t="s">
        <v>500</v>
      </c>
      <c r="C26" t="s">
        <v>522</v>
      </c>
      <c r="D26" s="14" t="s">
        <v>126</v>
      </c>
      <c r="E26" s="14" t="s">
        <v>127</v>
      </c>
      <c r="F26" s="15">
        <v>0.15</v>
      </c>
      <c r="G26" s="16">
        <f t="shared" si="0"/>
        <v>0.04</v>
      </c>
      <c r="L26" s="3">
        <v>923.37516579940814</v>
      </c>
      <c r="M26" s="3">
        <f t="shared" si="1"/>
        <v>1135.7514539332719</v>
      </c>
      <c r="N26" s="3">
        <f t="shared" si="2"/>
        <v>1108.0501989592897</v>
      </c>
      <c r="O26" s="3">
        <f t="shared" si="3"/>
        <v>1080.3489439853074</v>
      </c>
      <c r="P26" s="3">
        <f t="shared" si="4"/>
        <v>1001.8620548923577</v>
      </c>
      <c r="Q26" s="3">
        <f t="shared" si="5"/>
        <v>934.90892426190794</v>
      </c>
      <c r="S26" t="s">
        <v>371</v>
      </c>
      <c r="T26" t="s">
        <v>380</v>
      </c>
      <c r="U26">
        <v>27</v>
      </c>
      <c r="V26" t="s">
        <v>213</v>
      </c>
      <c r="W26" t="s">
        <v>213</v>
      </c>
      <c r="X26">
        <v>8</v>
      </c>
      <c r="Y26">
        <v>128</v>
      </c>
    </row>
    <row r="27" spans="1:25" x14ac:dyDescent="0.2">
      <c r="A27" t="s">
        <v>65</v>
      </c>
      <c r="B27" t="s">
        <v>501</v>
      </c>
      <c r="C27" t="s">
        <v>522</v>
      </c>
      <c r="D27" s="14" t="s">
        <v>126</v>
      </c>
      <c r="E27" s="14" t="s">
        <v>127</v>
      </c>
      <c r="F27" s="15">
        <v>0.15</v>
      </c>
      <c r="G27" s="16">
        <f t="shared" si="0"/>
        <v>0.04</v>
      </c>
      <c r="L27" s="3">
        <v>1135.9385096758831</v>
      </c>
      <c r="M27" s="3">
        <f t="shared" si="1"/>
        <v>1397.2043669013362</v>
      </c>
      <c r="N27" s="3">
        <f t="shared" si="2"/>
        <v>1363.1262116110597</v>
      </c>
      <c r="O27" s="3">
        <f t="shared" si="3"/>
        <v>1329.0480563207832</v>
      </c>
      <c r="P27" s="3">
        <f t="shared" si="4"/>
        <v>1232.4932829983331</v>
      </c>
      <c r="Q27" s="3">
        <f t="shared" si="5"/>
        <v>1150.1273690735809</v>
      </c>
      <c r="S27" t="s">
        <v>371</v>
      </c>
      <c r="T27" t="s">
        <v>382</v>
      </c>
      <c r="U27">
        <v>21.5</v>
      </c>
      <c r="V27" t="s">
        <v>213</v>
      </c>
      <c r="W27" t="s">
        <v>213</v>
      </c>
      <c r="X27">
        <v>8</v>
      </c>
      <c r="Y27">
        <v>128</v>
      </c>
    </row>
    <row r="28" spans="1:25" x14ac:dyDescent="0.2">
      <c r="A28" t="s">
        <v>66</v>
      </c>
      <c r="B28" t="s">
        <v>502</v>
      </c>
      <c r="C28" t="s">
        <v>522</v>
      </c>
      <c r="D28" s="14" t="s">
        <v>126</v>
      </c>
      <c r="E28" s="14" t="s">
        <v>127</v>
      </c>
      <c r="F28" s="15">
        <v>0.15</v>
      </c>
      <c r="G28" s="16">
        <f t="shared" si="0"/>
        <v>0.04</v>
      </c>
      <c r="L28" s="3">
        <v>1197.8369554127128</v>
      </c>
      <c r="M28" s="3">
        <f t="shared" si="1"/>
        <v>1473.3394551576366</v>
      </c>
      <c r="N28" s="3">
        <f t="shared" si="2"/>
        <v>1437.4043464952554</v>
      </c>
      <c r="O28" s="3">
        <f t="shared" si="3"/>
        <v>1401.4692378328739</v>
      </c>
      <c r="P28" s="3">
        <f t="shared" si="4"/>
        <v>1299.6530966227933</v>
      </c>
      <c r="Q28" s="3">
        <f t="shared" si="5"/>
        <v>1212.7989802027403</v>
      </c>
      <c r="S28" t="s">
        <v>371</v>
      </c>
      <c r="T28" t="s">
        <v>382</v>
      </c>
      <c r="U28">
        <v>23.8</v>
      </c>
      <c r="V28" t="s">
        <v>213</v>
      </c>
      <c r="W28" t="s">
        <v>213</v>
      </c>
      <c r="X28">
        <v>8</v>
      </c>
      <c r="Y28">
        <v>128</v>
      </c>
    </row>
    <row r="29" spans="1:25" x14ac:dyDescent="0.2">
      <c r="A29" t="s">
        <v>67</v>
      </c>
      <c r="B29" t="s">
        <v>503</v>
      </c>
      <c r="C29" t="s">
        <v>522</v>
      </c>
      <c r="D29" s="14" t="s">
        <v>126</v>
      </c>
      <c r="E29" s="14" t="s">
        <v>127</v>
      </c>
      <c r="F29" s="15">
        <v>0.15</v>
      </c>
      <c r="G29" s="16">
        <f t="shared" si="0"/>
        <v>0.04</v>
      </c>
      <c r="L29" s="3">
        <v>1233.2074958337582</v>
      </c>
      <c r="M29" s="3">
        <f t="shared" si="1"/>
        <v>1516.8452198755226</v>
      </c>
      <c r="N29" s="3">
        <f t="shared" si="2"/>
        <v>1479.8489950005098</v>
      </c>
      <c r="O29" s="3">
        <f t="shared" si="3"/>
        <v>1442.852770125497</v>
      </c>
      <c r="P29" s="3">
        <f t="shared" si="4"/>
        <v>1338.0301329796275</v>
      </c>
      <c r="Q29" s="3">
        <f t="shared" si="5"/>
        <v>1248.6113294194026</v>
      </c>
      <c r="S29" t="s">
        <v>371</v>
      </c>
      <c r="T29" t="s">
        <v>382</v>
      </c>
      <c r="U29">
        <v>27</v>
      </c>
      <c r="V29" t="s">
        <v>213</v>
      </c>
      <c r="W29" t="s">
        <v>213</v>
      </c>
      <c r="X29">
        <v>8</v>
      </c>
      <c r="Y29">
        <v>128</v>
      </c>
    </row>
    <row r="30" spans="1:25" x14ac:dyDescent="0.2">
      <c r="A30" t="s">
        <v>170</v>
      </c>
      <c r="B30" t="s">
        <v>177</v>
      </c>
      <c r="C30" t="e">
        <v>#N/A</v>
      </c>
      <c r="D30" s="14" t="s">
        <v>170</v>
      </c>
      <c r="E30" s="14" t="s">
        <v>170</v>
      </c>
      <c r="F30" s="15" t="s">
        <v>170</v>
      </c>
      <c r="G30" s="16">
        <f t="shared" si="0"/>
        <v>0.04</v>
      </c>
      <c r="L30" s="3">
        <v>104.82926829268293</v>
      </c>
      <c r="M30" s="3">
        <f t="shared" si="1"/>
        <v>128.94</v>
      </c>
      <c r="N30" s="3">
        <f t="shared" si="2"/>
        <v>125.7951219512195</v>
      </c>
      <c r="O30" s="3">
        <f t="shared" si="3"/>
        <v>122.65024390243902</v>
      </c>
      <c r="P30" s="3">
        <f t="shared" si="4"/>
        <v>113.73975609756097</v>
      </c>
      <c r="Q30" s="3">
        <f t="shared" si="5"/>
        <v>106.13867697625051</v>
      </c>
      <c r="S30" t="s">
        <v>371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</row>
    <row r="31" spans="1:25" x14ac:dyDescent="0.2">
      <c r="A31" t="s">
        <v>170</v>
      </c>
      <c r="B31" t="s">
        <v>179</v>
      </c>
      <c r="C31" t="e">
        <v>#N/A</v>
      </c>
      <c r="D31" s="14" t="s">
        <v>170</v>
      </c>
      <c r="E31" s="14" t="s">
        <v>170</v>
      </c>
      <c r="F31" s="15" t="s">
        <v>170</v>
      </c>
      <c r="G31" s="16">
        <f t="shared" si="0"/>
        <v>0.04</v>
      </c>
      <c r="L31" s="3">
        <v>123.83739837398373</v>
      </c>
      <c r="M31" s="3">
        <f t="shared" si="1"/>
        <v>152.32</v>
      </c>
      <c r="N31" s="3">
        <f t="shared" si="2"/>
        <v>148.60487804878048</v>
      </c>
      <c r="O31" s="3">
        <f t="shared" si="3"/>
        <v>144.88975609756096</v>
      </c>
      <c r="P31" s="3">
        <f t="shared" si="4"/>
        <v>134.36357723577234</v>
      </c>
      <c r="Q31" s="3">
        <f t="shared" si="5"/>
        <v>125.38423512503859</v>
      </c>
      <c r="S31" t="s">
        <v>371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</row>
    <row r="32" spans="1:25" x14ac:dyDescent="0.2">
      <c r="A32" t="s">
        <v>68</v>
      </c>
      <c r="B32" t="s">
        <v>180</v>
      </c>
      <c r="C32" t="s">
        <v>424</v>
      </c>
      <c r="D32" s="14" t="s">
        <v>126</v>
      </c>
      <c r="E32" s="14" t="s">
        <v>131</v>
      </c>
      <c r="F32" s="15">
        <v>0.15</v>
      </c>
      <c r="G32" s="16">
        <f t="shared" si="0"/>
        <v>0.04</v>
      </c>
      <c r="L32" s="3">
        <v>67.504065040650403</v>
      </c>
      <c r="M32" s="3">
        <f t="shared" si="1"/>
        <v>83.03</v>
      </c>
      <c r="N32" s="3">
        <f t="shared" si="2"/>
        <v>81.004878048780483</v>
      </c>
      <c r="O32" s="3">
        <f t="shared" si="3"/>
        <v>78.979756097560966</v>
      </c>
      <c r="P32" s="3">
        <f t="shared" si="4"/>
        <v>73.241910569105684</v>
      </c>
      <c r="Q32" s="3">
        <f t="shared" si="5"/>
        <v>68.347249490755999</v>
      </c>
      <c r="S32" t="s">
        <v>372</v>
      </c>
      <c r="T32" t="s">
        <v>213</v>
      </c>
      <c r="U32" t="s">
        <v>213</v>
      </c>
      <c r="V32" t="s">
        <v>213</v>
      </c>
      <c r="W32" t="s">
        <v>213</v>
      </c>
      <c r="X32" t="s">
        <v>213</v>
      </c>
      <c r="Y32" t="s">
        <v>213</v>
      </c>
    </row>
    <row r="33" spans="1:25" x14ac:dyDescent="0.2">
      <c r="A33" t="s">
        <v>69</v>
      </c>
      <c r="B33" t="s">
        <v>181</v>
      </c>
      <c r="C33" t="s">
        <v>424</v>
      </c>
      <c r="D33" s="14" t="s">
        <v>126</v>
      </c>
      <c r="E33" s="14" t="s">
        <v>127</v>
      </c>
      <c r="F33" s="15">
        <v>0.15</v>
      </c>
      <c r="G33" s="16">
        <f t="shared" si="0"/>
        <v>0.04</v>
      </c>
      <c r="L33" s="3">
        <v>171.10333611447783</v>
      </c>
      <c r="M33" s="3">
        <f t="shared" si="1"/>
        <v>210.45710342080773</v>
      </c>
      <c r="N33" s="3">
        <f t="shared" si="2"/>
        <v>205.3240033373734</v>
      </c>
      <c r="O33" s="3">
        <f t="shared" si="3"/>
        <v>200.19090325393904</v>
      </c>
      <c r="P33" s="3">
        <f t="shared" si="4"/>
        <v>185.64711968420843</v>
      </c>
      <c r="Q33" s="3">
        <f t="shared" si="5"/>
        <v>173.24056551371535</v>
      </c>
      <c r="S33" t="s">
        <v>372</v>
      </c>
      <c r="T33" t="s">
        <v>213</v>
      </c>
      <c r="U33" t="s">
        <v>213</v>
      </c>
      <c r="V33" t="s">
        <v>213</v>
      </c>
      <c r="W33" t="s">
        <v>213</v>
      </c>
      <c r="X33" t="s">
        <v>213</v>
      </c>
      <c r="Y33" t="s">
        <v>213</v>
      </c>
    </row>
    <row r="34" spans="1:25" x14ac:dyDescent="0.2">
      <c r="A34" t="s">
        <v>71</v>
      </c>
      <c r="B34" t="s">
        <v>504</v>
      </c>
      <c r="C34" t="s">
        <v>424</v>
      </c>
      <c r="D34" s="14" t="s">
        <v>126</v>
      </c>
      <c r="E34" s="14" t="s">
        <v>127</v>
      </c>
      <c r="F34" s="15">
        <v>0.15</v>
      </c>
      <c r="G34" s="16">
        <f t="shared" si="0"/>
        <v>0.04</v>
      </c>
      <c r="L34" s="3">
        <v>151.64174943789263</v>
      </c>
      <c r="M34" s="3">
        <f t="shared" si="1"/>
        <v>186.51935180860792</v>
      </c>
      <c r="N34" s="3">
        <f t="shared" si="2"/>
        <v>181.97009932547115</v>
      </c>
      <c r="O34" s="3">
        <f t="shared" si="3"/>
        <v>177.42084684233436</v>
      </c>
      <c r="P34" s="3">
        <f t="shared" si="4"/>
        <v>164.53129814011351</v>
      </c>
      <c r="Q34" s="3">
        <f t="shared" si="5"/>
        <v>153.53588670260169</v>
      </c>
      <c r="S34" t="s">
        <v>372</v>
      </c>
      <c r="T34" t="s">
        <v>213</v>
      </c>
      <c r="U34" t="s">
        <v>213</v>
      </c>
      <c r="V34" t="s">
        <v>213</v>
      </c>
      <c r="W34" t="s">
        <v>213</v>
      </c>
      <c r="X34" t="s">
        <v>213</v>
      </c>
      <c r="Y34" t="s">
        <v>213</v>
      </c>
    </row>
    <row r="35" spans="1:25" x14ac:dyDescent="0.2">
      <c r="A35" t="s">
        <v>72</v>
      </c>
      <c r="B35" t="s">
        <v>184</v>
      </c>
      <c r="C35" t="s">
        <v>402</v>
      </c>
      <c r="D35" s="14" t="s">
        <v>126</v>
      </c>
      <c r="E35" s="14" t="s">
        <v>131</v>
      </c>
      <c r="F35" s="15">
        <v>9.7500000000000003E-2</v>
      </c>
      <c r="G35" s="16">
        <f t="shared" si="0"/>
        <v>0.04</v>
      </c>
      <c r="L35" s="3">
        <v>136.95426602180771</v>
      </c>
      <c r="M35" s="3">
        <f t="shared" si="1"/>
        <v>168.45374720682349</v>
      </c>
      <c r="N35" s="3">
        <f t="shared" si="2"/>
        <v>164.34511922616926</v>
      </c>
      <c r="O35" s="3">
        <f t="shared" si="3"/>
        <v>160.23649124551503</v>
      </c>
      <c r="P35" s="3">
        <f t="shared" si="4"/>
        <v>148.59537863366137</v>
      </c>
      <c r="Q35" s="3">
        <f t="shared" si="5"/>
        <v>138.66494385158987</v>
      </c>
      <c r="S35" t="s">
        <v>373</v>
      </c>
      <c r="T35" t="s">
        <v>213</v>
      </c>
      <c r="U35" t="s">
        <v>213</v>
      </c>
      <c r="V35" t="s">
        <v>213</v>
      </c>
      <c r="W35" t="s">
        <v>213</v>
      </c>
      <c r="X35" t="s">
        <v>213</v>
      </c>
      <c r="Y35" t="s">
        <v>213</v>
      </c>
    </row>
    <row r="36" spans="1:25" x14ac:dyDescent="0.2">
      <c r="A36" t="s">
        <v>73</v>
      </c>
      <c r="B36" t="s">
        <v>185</v>
      </c>
      <c r="C36" t="s">
        <v>402</v>
      </c>
      <c r="D36" s="14" t="s">
        <v>126</v>
      </c>
      <c r="E36" s="14" t="s">
        <v>131</v>
      </c>
      <c r="F36" s="15">
        <v>9.7500000000000003E-2</v>
      </c>
      <c r="G36" s="16">
        <f t="shared" si="0"/>
        <v>0.04</v>
      </c>
      <c r="L36" s="3">
        <v>67.901694918375256</v>
      </c>
      <c r="M36" s="3">
        <f t="shared" si="1"/>
        <v>83.519084749601561</v>
      </c>
      <c r="N36" s="3">
        <f t="shared" si="2"/>
        <v>81.482033902050304</v>
      </c>
      <c r="O36" s="3">
        <f t="shared" si="3"/>
        <v>79.444983054499048</v>
      </c>
      <c r="P36" s="3">
        <f t="shared" si="4"/>
        <v>73.673338986437159</v>
      </c>
      <c r="Q36" s="3">
        <f t="shared" si="5"/>
        <v>68.74984611129247</v>
      </c>
      <c r="S36" t="s">
        <v>373</v>
      </c>
      <c r="T36" t="s">
        <v>213</v>
      </c>
      <c r="U36" t="s">
        <v>213</v>
      </c>
      <c r="V36" t="s">
        <v>213</v>
      </c>
      <c r="W36" t="s">
        <v>213</v>
      </c>
      <c r="X36" t="s">
        <v>213</v>
      </c>
      <c r="Y36" t="s">
        <v>213</v>
      </c>
    </row>
    <row r="37" spans="1:25" x14ac:dyDescent="0.2">
      <c r="A37" t="s">
        <v>74</v>
      </c>
      <c r="B37" t="s">
        <v>186</v>
      </c>
      <c r="C37" t="s">
        <v>402</v>
      </c>
      <c r="D37" s="14" t="s">
        <v>126</v>
      </c>
      <c r="E37" s="14" t="s">
        <v>131</v>
      </c>
      <c r="F37" s="15">
        <v>9.7500000000000003E-2</v>
      </c>
      <c r="G37" s="16">
        <f t="shared" si="0"/>
        <v>0.04</v>
      </c>
      <c r="L37" s="3">
        <v>119.06504660127848</v>
      </c>
      <c r="M37" s="3">
        <f t="shared" si="1"/>
        <v>146.45000731957253</v>
      </c>
      <c r="N37" s="3">
        <f t="shared" si="2"/>
        <v>142.87805592153418</v>
      </c>
      <c r="O37" s="3">
        <f t="shared" si="3"/>
        <v>139.3061045234958</v>
      </c>
      <c r="P37" s="3">
        <f t="shared" si="4"/>
        <v>129.18557556238716</v>
      </c>
      <c r="Q37" s="3">
        <f t="shared" si="5"/>
        <v>120.55227253033684</v>
      </c>
      <c r="S37" t="s">
        <v>373</v>
      </c>
      <c r="T37" t="s">
        <v>213</v>
      </c>
      <c r="U37" t="s">
        <v>213</v>
      </c>
      <c r="V37" t="s">
        <v>213</v>
      </c>
      <c r="W37" t="s">
        <v>213</v>
      </c>
      <c r="X37" t="s">
        <v>213</v>
      </c>
      <c r="Y37" t="s">
        <v>213</v>
      </c>
    </row>
    <row r="38" spans="1:25" x14ac:dyDescent="0.2">
      <c r="A38" t="s">
        <v>75</v>
      </c>
      <c r="B38" t="s">
        <v>187</v>
      </c>
      <c r="C38" t="s">
        <v>402</v>
      </c>
      <c r="D38" s="14" t="s">
        <v>126</v>
      </c>
      <c r="E38" s="14" t="s">
        <v>131</v>
      </c>
      <c r="F38" s="15">
        <v>9.7500000000000003E-2</v>
      </c>
      <c r="G38" s="16">
        <f t="shared" si="0"/>
        <v>0.04</v>
      </c>
      <c r="L38" s="3">
        <v>132.07762000032534</v>
      </c>
      <c r="M38" s="3">
        <f t="shared" si="1"/>
        <v>162.45547260040016</v>
      </c>
      <c r="N38" s="3">
        <f t="shared" si="2"/>
        <v>158.4931440003904</v>
      </c>
      <c r="O38" s="3">
        <f t="shared" si="3"/>
        <v>154.53081540038065</v>
      </c>
      <c r="P38" s="3">
        <f t="shared" si="4"/>
        <v>143.30421770035298</v>
      </c>
      <c r="Q38" s="3">
        <f t="shared" si="5"/>
        <v>133.72738428228624</v>
      </c>
      <c r="S38" t="s">
        <v>373</v>
      </c>
      <c r="T38" t="s">
        <v>213</v>
      </c>
      <c r="U38" t="s">
        <v>213</v>
      </c>
      <c r="V38" t="s">
        <v>213</v>
      </c>
      <c r="W38" t="s">
        <v>213</v>
      </c>
      <c r="X38" t="s">
        <v>213</v>
      </c>
      <c r="Y38" t="s">
        <v>213</v>
      </c>
    </row>
    <row r="39" spans="1:25" x14ac:dyDescent="0.2">
      <c r="A39" t="s">
        <v>76</v>
      </c>
      <c r="B39" t="s">
        <v>188</v>
      </c>
      <c r="C39" t="s">
        <v>402</v>
      </c>
      <c r="D39" s="14" t="s">
        <v>126</v>
      </c>
      <c r="E39" s="14" t="s">
        <v>131</v>
      </c>
      <c r="F39" s="15">
        <v>9.7500000000000003E-2</v>
      </c>
      <c r="G39" s="16">
        <f t="shared" si="0"/>
        <v>0.04</v>
      </c>
      <c r="L39" s="3">
        <v>47.758913007139959</v>
      </c>
      <c r="M39" s="3">
        <f t="shared" si="1"/>
        <v>58.743462998782149</v>
      </c>
      <c r="N39" s="3">
        <f t="shared" si="2"/>
        <v>57.310695608567947</v>
      </c>
      <c r="O39" s="3">
        <f t="shared" si="3"/>
        <v>55.877928218353752</v>
      </c>
      <c r="P39" s="3">
        <f t="shared" si="4"/>
        <v>51.818420612746856</v>
      </c>
      <c r="Q39" s="3">
        <f t="shared" si="5"/>
        <v>48.355463344920601</v>
      </c>
      <c r="S39" t="s">
        <v>373</v>
      </c>
      <c r="T39" t="s">
        <v>213</v>
      </c>
      <c r="U39" t="s">
        <v>213</v>
      </c>
      <c r="V39" t="s">
        <v>213</v>
      </c>
      <c r="W39" t="s">
        <v>213</v>
      </c>
      <c r="X39" t="s">
        <v>213</v>
      </c>
      <c r="Y39" t="s">
        <v>213</v>
      </c>
    </row>
    <row r="40" spans="1:25" x14ac:dyDescent="0.2">
      <c r="A40" t="s">
        <v>77</v>
      </c>
      <c r="B40" t="s">
        <v>189</v>
      </c>
      <c r="C40" t="s">
        <v>424</v>
      </c>
      <c r="D40" s="14" t="s">
        <v>190</v>
      </c>
      <c r="E40" s="14" t="s">
        <v>127</v>
      </c>
      <c r="F40" s="15">
        <v>0.15</v>
      </c>
      <c r="G40" s="16">
        <f t="shared" si="0"/>
        <v>0.12</v>
      </c>
      <c r="L40" s="3">
        <v>276.28737839059113</v>
      </c>
      <c r="M40" s="3">
        <f t="shared" si="1"/>
        <v>339.83347542042708</v>
      </c>
      <c r="N40" s="3">
        <f t="shared" si="2"/>
        <v>331.54485406870936</v>
      </c>
      <c r="O40" s="3">
        <f t="shared" si="3"/>
        <v>323.25623271699158</v>
      </c>
      <c r="P40" s="3">
        <f t="shared" si="4"/>
        <v>299.77180555379135</v>
      </c>
      <c r="Q40" s="3">
        <f t="shared" si="5"/>
        <v>279.73844790883572</v>
      </c>
      <c r="S40" t="s">
        <v>374</v>
      </c>
      <c r="T40" t="s">
        <v>213</v>
      </c>
      <c r="U40" t="s">
        <v>213</v>
      </c>
      <c r="V40" t="s">
        <v>213</v>
      </c>
      <c r="W40" t="s">
        <v>213</v>
      </c>
      <c r="X40" t="s">
        <v>213</v>
      </c>
      <c r="Y40" t="s">
        <v>213</v>
      </c>
    </row>
    <row r="41" spans="1:25" x14ac:dyDescent="0.2">
      <c r="A41" t="s">
        <v>80</v>
      </c>
      <c r="B41" t="s">
        <v>193</v>
      </c>
      <c r="C41" t="s">
        <v>424</v>
      </c>
      <c r="D41" s="14" t="s">
        <v>190</v>
      </c>
      <c r="E41" s="14" t="s">
        <v>127</v>
      </c>
      <c r="F41" s="15">
        <v>0.15</v>
      </c>
      <c r="G41" s="16">
        <f t="shared" si="0"/>
        <v>0.12</v>
      </c>
      <c r="L41" s="3">
        <v>726.17073170731715</v>
      </c>
      <c r="M41" s="3">
        <f t="shared" si="1"/>
        <v>893.19</v>
      </c>
      <c r="N41" s="3">
        <f t="shared" si="2"/>
        <v>871.40487804878057</v>
      </c>
      <c r="O41" s="3">
        <f t="shared" si="3"/>
        <v>849.61975609756098</v>
      </c>
      <c r="P41" s="3">
        <f t="shared" si="4"/>
        <v>787.89524390243901</v>
      </c>
      <c r="Q41" s="3">
        <f t="shared" si="5"/>
        <v>735.24123536852176</v>
      </c>
      <c r="S41" t="s">
        <v>374</v>
      </c>
      <c r="T41" t="s">
        <v>213</v>
      </c>
      <c r="U41" t="s">
        <v>213</v>
      </c>
      <c r="V41" t="s">
        <v>213</v>
      </c>
      <c r="W41" t="s">
        <v>213</v>
      </c>
      <c r="X41" t="s">
        <v>213</v>
      </c>
      <c r="Y41" t="s">
        <v>213</v>
      </c>
    </row>
    <row r="42" spans="1:25" x14ac:dyDescent="0.2">
      <c r="A42" t="s">
        <v>82</v>
      </c>
      <c r="B42" t="s">
        <v>195</v>
      </c>
      <c r="C42" t="s">
        <v>424</v>
      </c>
      <c r="D42" s="14" t="s">
        <v>190</v>
      </c>
      <c r="E42" s="14" t="s">
        <v>127</v>
      </c>
      <c r="F42" s="15">
        <v>0.15</v>
      </c>
      <c r="G42" s="16">
        <f t="shared" si="0"/>
        <v>0.12</v>
      </c>
      <c r="L42" s="3">
        <v>212.59819525158423</v>
      </c>
      <c r="M42" s="3">
        <f t="shared" si="1"/>
        <v>261.4957801594486</v>
      </c>
      <c r="N42" s="3">
        <f t="shared" si="2"/>
        <v>255.11783430190107</v>
      </c>
      <c r="O42" s="3">
        <f t="shared" si="3"/>
        <v>248.73988844435354</v>
      </c>
      <c r="P42" s="3">
        <f t="shared" si="4"/>
        <v>230.66904184796888</v>
      </c>
      <c r="Q42" s="3">
        <f t="shared" si="5"/>
        <v>215.25373151075175</v>
      </c>
      <c r="S42" t="s">
        <v>374</v>
      </c>
      <c r="T42" t="s">
        <v>213</v>
      </c>
      <c r="U42" t="s">
        <v>213</v>
      </c>
      <c r="V42" t="s">
        <v>213</v>
      </c>
      <c r="W42" t="s">
        <v>213</v>
      </c>
      <c r="X42" t="s">
        <v>213</v>
      </c>
      <c r="Y42" t="s">
        <v>213</v>
      </c>
    </row>
    <row r="43" spans="1:25" x14ac:dyDescent="0.2">
      <c r="A43" t="s">
        <v>83</v>
      </c>
      <c r="B43" t="s">
        <v>196</v>
      </c>
      <c r="C43" t="s">
        <v>424</v>
      </c>
      <c r="D43" s="14" t="s">
        <v>190</v>
      </c>
      <c r="E43" s="14" t="s">
        <v>127</v>
      </c>
      <c r="F43" s="15">
        <v>0.15</v>
      </c>
      <c r="G43" s="16">
        <f t="shared" si="0"/>
        <v>0.12</v>
      </c>
      <c r="L43" s="3">
        <v>178.52903103513472</v>
      </c>
      <c r="M43" s="3">
        <f t="shared" si="1"/>
        <v>219.59070817321572</v>
      </c>
      <c r="N43" s="3">
        <f t="shared" si="2"/>
        <v>214.23483724216166</v>
      </c>
      <c r="O43" s="3">
        <f t="shared" si="3"/>
        <v>208.8789663111076</v>
      </c>
      <c r="P43" s="3">
        <f t="shared" si="4"/>
        <v>193.70399867312116</v>
      </c>
      <c r="Q43" s="3">
        <f t="shared" si="5"/>
        <v>180.75901381869889</v>
      </c>
      <c r="S43" t="s">
        <v>374</v>
      </c>
      <c r="T43" t="s">
        <v>213</v>
      </c>
      <c r="U43" t="s">
        <v>213</v>
      </c>
      <c r="V43" t="s">
        <v>213</v>
      </c>
      <c r="W43" t="s">
        <v>213</v>
      </c>
      <c r="X43" t="s">
        <v>213</v>
      </c>
      <c r="Y43" t="s">
        <v>213</v>
      </c>
    </row>
    <row r="44" spans="1:25" x14ac:dyDescent="0.2">
      <c r="A44" t="s">
        <v>84</v>
      </c>
      <c r="B44" t="s">
        <v>197</v>
      </c>
      <c r="C44" t="s">
        <v>424</v>
      </c>
      <c r="D44" s="14" t="s">
        <v>190</v>
      </c>
      <c r="E44" s="14" t="s">
        <v>127</v>
      </c>
      <c r="F44" s="15">
        <v>0.15</v>
      </c>
      <c r="G44" s="16">
        <f t="shared" si="0"/>
        <v>0.12</v>
      </c>
      <c r="L44" s="3">
        <v>154.45292352293393</v>
      </c>
      <c r="M44" s="3">
        <f t="shared" si="1"/>
        <v>189.97709593320874</v>
      </c>
      <c r="N44" s="3">
        <f t="shared" si="2"/>
        <v>185.34350822752072</v>
      </c>
      <c r="O44" s="3">
        <f t="shared" si="3"/>
        <v>180.70992052183269</v>
      </c>
      <c r="P44" s="3">
        <f t="shared" si="4"/>
        <v>167.58142202238332</v>
      </c>
      <c r="Q44" s="3">
        <f t="shared" si="5"/>
        <v>156.38217479557156</v>
      </c>
      <c r="S44" t="s">
        <v>374</v>
      </c>
      <c r="T44" t="s">
        <v>213</v>
      </c>
      <c r="U44" t="s">
        <v>213</v>
      </c>
      <c r="V44" t="s">
        <v>213</v>
      </c>
      <c r="W44" t="s">
        <v>213</v>
      </c>
      <c r="X44" t="s">
        <v>213</v>
      </c>
      <c r="Y44" t="s">
        <v>213</v>
      </c>
    </row>
    <row r="45" spans="1:25" x14ac:dyDescent="0.2">
      <c r="A45" t="s">
        <v>85</v>
      </c>
      <c r="B45" t="s">
        <v>505</v>
      </c>
      <c r="C45" t="s">
        <v>424</v>
      </c>
      <c r="D45" s="14" t="s">
        <v>190</v>
      </c>
      <c r="E45" s="14" t="s">
        <v>127</v>
      </c>
      <c r="F45" s="15">
        <v>0.15</v>
      </c>
      <c r="G45" s="16">
        <f t="shared" si="0"/>
        <v>0.12</v>
      </c>
      <c r="L45" s="3">
        <v>230.18300695292336</v>
      </c>
      <c r="M45" s="3">
        <f t="shared" si="1"/>
        <v>283.12509855209572</v>
      </c>
      <c r="N45" s="3">
        <f t="shared" si="2"/>
        <v>276.21960834350801</v>
      </c>
      <c r="O45" s="3">
        <f t="shared" si="3"/>
        <v>269.31411813492031</v>
      </c>
      <c r="P45" s="3">
        <f t="shared" si="4"/>
        <v>249.74856254392182</v>
      </c>
      <c r="Q45" s="3">
        <f t="shared" si="5"/>
        <v>233.05819279579634</v>
      </c>
      <c r="S45" t="s">
        <v>374</v>
      </c>
      <c r="T45" t="s">
        <v>213</v>
      </c>
      <c r="U45" t="s">
        <v>213</v>
      </c>
      <c r="V45" t="s">
        <v>213</v>
      </c>
      <c r="W45" t="s">
        <v>213</v>
      </c>
      <c r="X45" t="s">
        <v>213</v>
      </c>
      <c r="Y45" t="s">
        <v>213</v>
      </c>
    </row>
    <row r="46" spans="1:25" x14ac:dyDescent="0.2">
      <c r="A46" t="s">
        <v>86</v>
      </c>
      <c r="B46" t="s">
        <v>506</v>
      </c>
      <c r="C46" t="s">
        <v>424</v>
      </c>
      <c r="D46" s="14" t="s">
        <v>190</v>
      </c>
      <c r="E46" s="14" t="s">
        <v>127</v>
      </c>
      <c r="F46" s="15">
        <v>0.15</v>
      </c>
      <c r="G46" s="16">
        <f t="shared" si="0"/>
        <v>0.12</v>
      </c>
      <c r="L46" s="3">
        <v>249.50173740986426</v>
      </c>
      <c r="M46" s="3">
        <f t="shared" si="1"/>
        <v>306.88713701413303</v>
      </c>
      <c r="N46" s="3">
        <f t="shared" si="2"/>
        <v>299.40208489183709</v>
      </c>
      <c r="O46" s="3">
        <f t="shared" si="3"/>
        <v>291.91703276954115</v>
      </c>
      <c r="P46" s="3">
        <f t="shared" si="4"/>
        <v>270.70938508970272</v>
      </c>
      <c r="Q46" s="3">
        <f t="shared" si="5"/>
        <v>252.61823098890488</v>
      </c>
      <c r="S46" t="s">
        <v>374</v>
      </c>
      <c r="T46" t="s">
        <v>213</v>
      </c>
      <c r="U46" t="s">
        <v>213</v>
      </c>
      <c r="V46" t="s">
        <v>213</v>
      </c>
      <c r="W46" t="s">
        <v>213</v>
      </c>
      <c r="X46" t="s">
        <v>213</v>
      </c>
      <c r="Y46" t="s">
        <v>213</v>
      </c>
    </row>
    <row r="47" spans="1:25" x14ac:dyDescent="0.2">
      <c r="A47" t="s">
        <v>87</v>
      </c>
      <c r="B47" t="s">
        <v>200</v>
      </c>
      <c r="C47" t="s">
        <v>424</v>
      </c>
      <c r="D47" s="14" t="s">
        <v>126</v>
      </c>
      <c r="E47" s="14" t="s">
        <v>127</v>
      </c>
      <c r="F47" s="15">
        <v>0.15</v>
      </c>
      <c r="G47" s="16">
        <f t="shared" si="0"/>
        <v>0.04</v>
      </c>
      <c r="L47" s="3">
        <v>1116.5573916369542</v>
      </c>
      <c r="M47" s="3">
        <f t="shared" si="1"/>
        <v>1373.3655917134536</v>
      </c>
      <c r="N47" s="3">
        <f t="shared" si="2"/>
        <v>1339.8688699643451</v>
      </c>
      <c r="O47" s="3">
        <f t="shared" si="3"/>
        <v>1306.3721482152364</v>
      </c>
      <c r="P47" s="3">
        <f t="shared" si="4"/>
        <v>1211.4647699260954</v>
      </c>
      <c r="Q47" s="3">
        <f t="shared" si="5"/>
        <v>1130.5041640233551</v>
      </c>
      <c r="S47" t="s">
        <v>374</v>
      </c>
      <c r="T47" t="s">
        <v>213</v>
      </c>
      <c r="U47" t="s">
        <v>213</v>
      </c>
      <c r="V47" t="s">
        <v>213</v>
      </c>
      <c r="W47" t="s">
        <v>213</v>
      </c>
      <c r="X47" t="s">
        <v>213</v>
      </c>
      <c r="Y47" t="s">
        <v>213</v>
      </c>
    </row>
    <row r="48" spans="1:25" x14ac:dyDescent="0.2">
      <c r="A48" t="s">
        <v>88</v>
      </c>
      <c r="B48" t="s">
        <v>201</v>
      </c>
      <c r="C48" t="s">
        <v>424</v>
      </c>
      <c r="D48" s="14" t="s">
        <v>126</v>
      </c>
      <c r="E48" s="14" t="s">
        <v>127</v>
      </c>
      <c r="F48" s="15">
        <v>0.15</v>
      </c>
      <c r="G48" s="16">
        <f t="shared" si="0"/>
        <v>0.04</v>
      </c>
      <c r="L48" s="3">
        <v>871.04396600632833</v>
      </c>
      <c r="M48" s="3">
        <f t="shared" si="1"/>
        <v>1071.3840781877839</v>
      </c>
      <c r="N48" s="3">
        <f t="shared" si="2"/>
        <v>1045.252759207594</v>
      </c>
      <c r="O48" s="3">
        <f t="shared" si="3"/>
        <v>1019.121440227404</v>
      </c>
      <c r="P48" s="3">
        <f t="shared" si="4"/>
        <v>945.08270311686624</v>
      </c>
      <c r="Q48" s="3">
        <f t="shared" si="5"/>
        <v>881.92406229464177</v>
      </c>
      <c r="S48" t="s">
        <v>374</v>
      </c>
      <c r="T48" t="s">
        <v>213</v>
      </c>
      <c r="U48" t="s">
        <v>213</v>
      </c>
      <c r="V48" t="s">
        <v>213</v>
      </c>
      <c r="W48" t="s">
        <v>213</v>
      </c>
      <c r="X48" t="s">
        <v>213</v>
      </c>
      <c r="Y48" t="s">
        <v>213</v>
      </c>
    </row>
    <row r="49" spans="1:25" x14ac:dyDescent="0.2">
      <c r="A49" t="s">
        <v>89</v>
      </c>
      <c r="B49" t="s">
        <v>202</v>
      </c>
      <c r="C49" t="s">
        <v>424</v>
      </c>
      <c r="D49" s="14" t="s">
        <v>126</v>
      </c>
      <c r="E49" s="14" t="s">
        <v>127</v>
      </c>
      <c r="F49" s="15">
        <v>0.15</v>
      </c>
      <c r="G49" s="16">
        <f t="shared" si="0"/>
        <v>0.04</v>
      </c>
      <c r="L49" s="3">
        <v>964.83720301516064</v>
      </c>
      <c r="M49" s="3">
        <f t="shared" si="1"/>
        <v>1186.7497597086476</v>
      </c>
      <c r="N49" s="3">
        <f t="shared" si="2"/>
        <v>1157.8046436181928</v>
      </c>
      <c r="O49" s="3">
        <f t="shared" si="3"/>
        <v>1128.8595275277378</v>
      </c>
      <c r="P49" s="3">
        <f t="shared" si="4"/>
        <v>1046.8483652714492</v>
      </c>
      <c r="Q49" s="3">
        <f t="shared" si="5"/>
        <v>976.88885836326244</v>
      </c>
      <c r="S49" t="s">
        <v>374</v>
      </c>
      <c r="T49" t="s">
        <v>213</v>
      </c>
      <c r="U49" t="s">
        <v>213</v>
      </c>
      <c r="V49" t="s">
        <v>213</v>
      </c>
      <c r="W49" t="s">
        <v>213</v>
      </c>
      <c r="X49" t="s">
        <v>213</v>
      </c>
      <c r="Y49" t="s">
        <v>213</v>
      </c>
    </row>
    <row r="50" spans="1:25" x14ac:dyDescent="0.2">
      <c r="A50" t="s">
        <v>90</v>
      </c>
      <c r="B50" t="s">
        <v>507</v>
      </c>
      <c r="C50" t="s">
        <v>523</v>
      </c>
      <c r="D50" s="14" t="s">
        <v>126</v>
      </c>
      <c r="E50" s="14" t="s">
        <v>127</v>
      </c>
      <c r="F50" s="15">
        <v>0.15</v>
      </c>
      <c r="G50" s="16">
        <f t="shared" si="0"/>
        <v>0.04</v>
      </c>
      <c r="L50" s="3">
        <v>290.22783064971725</v>
      </c>
      <c r="M50" s="3">
        <f t="shared" si="1"/>
        <v>356.98023169915223</v>
      </c>
      <c r="N50" s="3">
        <f t="shared" si="2"/>
        <v>348.27339677966069</v>
      </c>
      <c r="O50" s="3">
        <f t="shared" si="3"/>
        <v>339.56656186016914</v>
      </c>
      <c r="P50" s="3">
        <f t="shared" si="4"/>
        <v>314.8971962549432</v>
      </c>
      <c r="Q50" s="3">
        <f t="shared" si="5"/>
        <v>293.85302853438327</v>
      </c>
      <c r="S50" t="s">
        <v>374</v>
      </c>
      <c r="T50" t="s">
        <v>213</v>
      </c>
      <c r="U50" t="s">
        <v>213</v>
      </c>
      <c r="V50" t="s">
        <v>213</v>
      </c>
      <c r="W50" t="s">
        <v>213</v>
      </c>
      <c r="X50" t="s">
        <v>213</v>
      </c>
      <c r="Y50" t="s">
        <v>213</v>
      </c>
    </row>
    <row r="51" spans="1:25" x14ac:dyDescent="0.2">
      <c r="A51" t="s">
        <v>91</v>
      </c>
      <c r="B51" t="s">
        <v>204</v>
      </c>
      <c r="C51" t="e">
        <v>#N/A</v>
      </c>
      <c r="D51" s="14" t="s">
        <v>126</v>
      </c>
      <c r="E51" s="14" t="s">
        <v>127</v>
      </c>
      <c r="F51" s="15">
        <v>0.15</v>
      </c>
      <c r="G51" s="16">
        <f t="shared" si="0"/>
        <v>0.04</v>
      </c>
      <c r="L51" s="3">
        <v>14.842960231691736</v>
      </c>
      <c r="M51" s="3">
        <f t="shared" si="1"/>
        <v>18.256841084980834</v>
      </c>
      <c r="N51" s="3">
        <f t="shared" si="2"/>
        <v>17.811552278030081</v>
      </c>
      <c r="O51" s="3">
        <f t="shared" si="3"/>
        <v>17.366263471079328</v>
      </c>
      <c r="P51" s="3">
        <f t="shared" si="4"/>
        <v>16.104611851385531</v>
      </c>
      <c r="Q51" s="3">
        <f t="shared" si="5"/>
        <v>15.028361707193421</v>
      </c>
      <c r="S51" t="s">
        <v>374</v>
      </c>
      <c r="T51" t="s">
        <v>213</v>
      </c>
      <c r="U51" t="s">
        <v>213</v>
      </c>
      <c r="V51" t="s">
        <v>213</v>
      </c>
      <c r="W51" t="s">
        <v>213</v>
      </c>
      <c r="X51" t="s">
        <v>213</v>
      </c>
      <c r="Y51" t="s">
        <v>213</v>
      </c>
    </row>
    <row r="52" spans="1:25" x14ac:dyDescent="0.2">
      <c r="A52" t="s">
        <v>92</v>
      </c>
      <c r="B52" t="s">
        <v>205</v>
      </c>
      <c r="C52" t="s">
        <v>424</v>
      </c>
      <c r="D52" s="14" t="s">
        <v>126</v>
      </c>
      <c r="E52" s="14" t="s">
        <v>127</v>
      </c>
      <c r="F52" s="15">
        <v>0.15</v>
      </c>
      <c r="G52" s="16">
        <f t="shared" si="0"/>
        <v>0.04</v>
      </c>
      <c r="L52" s="3">
        <v>119.40802175302653</v>
      </c>
      <c r="M52" s="3">
        <f t="shared" si="1"/>
        <v>146.87186675622263</v>
      </c>
      <c r="N52" s="3">
        <f t="shared" si="2"/>
        <v>143.28962610363183</v>
      </c>
      <c r="O52" s="3">
        <f t="shared" si="3"/>
        <v>139.70738545104103</v>
      </c>
      <c r="P52" s="3">
        <f t="shared" si="4"/>
        <v>129.55770360203377</v>
      </c>
      <c r="Q52" s="3">
        <f t="shared" si="5"/>
        <v>120.89953173986055</v>
      </c>
      <c r="S52" t="s">
        <v>374</v>
      </c>
      <c r="T52" t="s">
        <v>213</v>
      </c>
      <c r="U52" t="s">
        <v>213</v>
      </c>
      <c r="V52" t="s">
        <v>213</v>
      </c>
      <c r="W52" t="s">
        <v>213</v>
      </c>
      <c r="X52" t="s">
        <v>213</v>
      </c>
      <c r="Y52" t="s">
        <v>213</v>
      </c>
    </row>
    <row r="53" spans="1:25" x14ac:dyDescent="0.2">
      <c r="A53" t="s">
        <v>94</v>
      </c>
      <c r="B53" t="s">
        <v>508</v>
      </c>
      <c r="C53" t="s">
        <v>424</v>
      </c>
      <c r="D53" s="14" t="s">
        <v>126</v>
      </c>
      <c r="E53" s="14" t="s">
        <v>127</v>
      </c>
      <c r="F53" s="15">
        <v>0.15</v>
      </c>
      <c r="G53" s="16">
        <f t="shared" si="0"/>
        <v>0.04</v>
      </c>
      <c r="L53" s="3">
        <v>114.43268751331709</v>
      </c>
      <c r="M53" s="3">
        <f t="shared" si="1"/>
        <v>140.75220564138002</v>
      </c>
      <c r="N53" s="3">
        <f t="shared" si="2"/>
        <v>137.31922501598049</v>
      </c>
      <c r="O53" s="3">
        <f t="shared" si="3"/>
        <v>133.886244390581</v>
      </c>
      <c r="P53" s="3">
        <f t="shared" si="4"/>
        <v>124.15946595194904</v>
      </c>
      <c r="Q53" s="3">
        <f t="shared" si="5"/>
        <v>115.86205125069969</v>
      </c>
      <c r="S53" t="s">
        <v>374</v>
      </c>
      <c r="T53" t="s">
        <v>213</v>
      </c>
      <c r="U53" t="s">
        <v>213</v>
      </c>
      <c r="V53" t="s">
        <v>213</v>
      </c>
      <c r="W53" t="s">
        <v>213</v>
      </c>
      <c r="X53" t="s">
        <v>213</v>
      </c>
      <c r="Y53" t="s">
        <v>213</v>
      </c>
    </row>
    <row r="54" spans="1:25" x14ac:dyDescent="0.2">
      <c r="A54" t="s">
        <v>96</v>
      </c>
      <c r="B54" t="s">
        <v>209</v>
      </c>
      <c r="C54" t="s">
        <v>402</v>
      </c>
      <c r="D54" s="14" t="s">
        <v>126</v>
      </c>
      <c r="E54" s="14" t="s">
        <v>127</v>
      </c>
      <c r="F54" s="15">
        <v>9.7500000000000003E-2</v>
      </c>
      <c r="G54" s="16">
        <f t="shared" si="0"/>
        <v>0.04</v>
      </c>
      <c r="L54" s="3">
        <v>65.418869622999836</v>
      </c>
      <c r="M54" s="3">
        <f t="shared" si="1"/>
        <v>80.465209636289799</v>
      </c>
      <c r="N54" s="3">
        <f t="shared" si="2"/>
        <v>78.502643547599803</v>
      </c>
      <c r="O54" s="3">
        <f t="shared" si="3"/>
        <v>76.540077458909806</v>
      </c>
      <c r="P54" s="3">
        <f t="shared" si="4"/>
        <v>70.979473540954814</v>
      </c>
      <c r="Q54" s="3">
        <f t="shared" si="5"/>
        <v>66.236008169787823</v>
      </c>
      <c r="S54" t="s">
        <v>375</v>
      </c>
      <c r="T54" t="s">
        <v>213</v>
      </c>
      <c r="U54" t="s">
        <v>213</v>
      </c>
      <c r="V54" t="s">
        <v>213</v>
      </c>
      <c r="W54" t="s">
        <v>213</v>
      </c>
      <c r="X54" t="s">
        <v>213</v>
      </c>
      <c r="Y54" t="s">
        <v>213</v>
      </c>
    </row>
    <row r="55" spans="1:25" x14ac:dyDescent="0.2">
      <c r="A55" t="s">
        <v>97</v>
      </c>
      <c r="B55" t="s">
        <v>509</v>
      </c>
      <c r="C55" t="s">
        <v>402</v>
      </c>
      <c r="D55" s="14" t="s">
        <v>126</v>
      </c>
      <c r="E55" s="14" t="s">
        <v>127</v>
      </c>
      <c r="F55" s="15">
        <v>9.7500000000000003E-2</v>
      </c>
      <c r="G55" s="16">
        <f t="shared" si="0"/>
        <v>0.04</v>
      </c>
      <c r="L55" s="3">
        <v>45.765072774295426</v>
      </c>
      <c r="M55" s="3">
        <f t="shared" si="1"/>
        <v>56.291039512383371</v>
      </c>
      <c r="N55" s="3">
        <f t="shared" si="2"/>
        <v>54.91808732915451</v>
      </c>
      <c r="O55" s="3">
        <f t="shared" si="3"/>
        <v>53.545135145925649</v>
      </c>
      <c r="P55" s="3">
        <f t="shared" si="4"/>
        <v>49.655103960110537</v>
      </c>
      <c r="Q55" s="3">
        <f t="shared" si="5"/>
        <v>46.33671831442696</v>
      </c>
      <c r="S55" t="s">
        <v>375</v>
      </c>
      <c r="T55" t="s">
        <v>213</v>
      </c>
      <c r="U55" t="s">
        <v>213</v>
      </c>
      <c r="V55" t="s">
        <v>213</v>
      </c>
      <c r="W55" t="s">
        <v>213</v>
      </c>
      <c r="X55" t="s">
        <v>213</v>
      </c>
      <c r="Y55" t="s">
        <v>213</v>
      </c>
    </row>
    <row r="56" spans="1:25" x14ac:dyDescent="0.2">
      <c r="A56" t="s">
        <v>98</v>
      </c>
      <c r="B56" t="s">
        <v>211</v>
      </c>
      <c r="C56" t="s">
        <v>402</v>
      </c>
      <c r="D56" s="14" t="s">
        <v>126</v>
      </c>
      <c r="E56" s="14" t="s">
        <v>127</v>
      </c>
      <c r="F56" s="15">
        <v>9.7500000000000003E-2</v>
      </c>
      <c r="G56" s="16">
        <f t="shared" si="0"/>
        <v>0.04</v>
      </c>
      <c r="L56" s="3">
        <v>59.3972221113196</v>
      </c>
      <c r="M56" s="3">
        <f t="shared" si="1"/>
        <v>73.058583196923109</v>
      </c>
      <c r="N56" s="3">
        <f t="shared" si="2"/>
        <v>71.276666533583523</v>
      </c>
      <c r="O56" s="3">
        <f t="shared" si="3"/>
        <v>69.494749870243922</v>
      </c>
      <c r="P56" s="3">
        <f t="shared" si="4"/>
        <v>64.445985990781764</v>
      </c>
      <c r="Q56" s="3">
        <f t="shared" si="5"/>
        <v>60.139145046383938</v>
      </c>
      <c r="S56" t="s">
        <v>375</v>
      </c>
      <c r="T56" t="s">
        <v>213</v>
      </c>
      <c r="U56" t="s">
        <v>213</v>
      </c>
      <c r="V56" t="s">
        <v>213</v>
      </c>
      <c r="W56" t="s">
        <v>213</v>
      </c>
      <c r="X56" t="s">
        <v>213</v>
      </c>
      <c r="Y56" t="s">
        <v>213</v>
      </c>
    </row>
    <row r="57" spans="1:25" x14ac:dyDescent="0.2">
      <c r="A57" t="s">
        <v>100</v>
      </c>
      <c r="B57" t="s">
        <v>214</v>
      </c>
      <c r="C57" t="s">
        <v>402</v>
      </c>
      <c r="D57" s="14" t="s">
        <v>126</v>
      </c>
      <c r="E57" s="14" t="s">
        <v>127</v>
      </c>
      <c r="F57" s="15">
        <v>9.7500000000000003E-2</v>
      </c>
      <c r="G57" s="16">
        <f t="shared" si="0"/>
        <v>0.04</v>
      </c>
      <c r="L57" s="3">
        <v>120.74189412792836</v>
      </c>
      <c r="M57" s="3">
        <f t="shared" si="1"/>
        <v>148.51252977735189</v>
      </c>
      <c r="N57" s="3">
        <f t="shared" si="2"/>
        <v>144.89027295351403</v>
      </c>
      <c r="O57" s="3">
        <f t="shared" si="3"/>
        <v>141.26801612967617</v>
      </c>
      <c r="P57" s="3">
        <f t="shared" si="4"/>
        <v>131.00495512880227</v>
      </c>
      <c r="Q57" s="3">
        <f t="shared" si="5"/>
        <v>122.25006534019029</v>
      </c>
      <c r="S57" t="s">
        <v>375</v>
      </c>
      <c r="T57" t="s">
        <v>213</v>
      </c>
      <c r="U57" t="s">
        <v>213</v>
      </c>
      <c r="V57" t="s">
        <v>213</v>
      </c>
      <c r="W57" t="s">
        <v>213</v>
      </c>
      <c r="X57" t="s">
        <v>213</v>
      </c>
      <c r="Y57" t="s">
        <v>213</v>
      </c>
    </row>
    <row r="58" spans="1:25" x14ac:dyDescent="0.2">
      <c r="A58" t="s">
        <v>101</v>
      </c>
      <c r="B58" t="s">
        <v>215</v>
      </c>
      <c r="C58" t="e">
        <v>#N/A</v>
      </c>
      <c r="D58" s="14" t="s">
        <v>126</v>
      </c>
      <c r="E58" s="14" t="s">
        <v>213</v>
      </c>
      <c r="F58" s="15">
        <v>9.7500000000000003E-2</v>
      </c>
      <c r="G58" s="16">
        <f t="shared" si="0"/>
        <v>0.04</v>
      </c>
      <c r="L58" s="3">
        <v>7.7011521906056437</v>
      </c>
      <c r="M58" s="3">
        <f t="shared" si="1"/>
        <v>9.472417194444942</v>
      </c>
      <c r="N58" s="3">
        <f t="shared" si="2"/>
        <v>9.2413826287267717</v>
      </c>
      <c r="O58" s="3">
        <f t="shared" si="3"/>
        <v>9.0103480630086032</v>
      </c>
      <c r="P58" s="3">
        <f t="shared" si="4"/>
        <v>8.3557501268071235</v>
      </c>
      <c r="Q58" s="3">
        <f t="shared" si="5"/>
        <v>7.7973462756745215</v>
      </c>
      <c r="S58" t="s">
        <v>375</v>
      </c>
      <c r="T58" t="s">
        <v>213</v>
      </c>
      <c r="U58" t="s">
        <v>213</v>
      </c>
      <c r="V58" t="s">
        <v>213</v>
      </c>
      <c r="W58" t="s">
        <v>213</v>
      </c>
      <c r="X58" t="s">
        <v>213</v>
      </c>
      <c r="Y58" t="s">
        <v>213</v>
      </c>
    </row>
    <row r="59" spans="1:25" x14ac:dyDescent="0.2">
      <c r="A59" t="s">
        <v>102</v>
      </c>
      <c r="B59" t="s">
        <v>216</v>
      </c>
      <c r="C59" t="e">
        <v>#N/A</v>
      </c>
      <c r="D59" s="14" t="s">
        <v>126</v>
      </c>
      <c r="E59" s="14" t="s">
        <v>213</v>
      </c>
      <c r="F59" s="15">
        <v>9.7500000000000003E-2</v>
      </c>
      <c r="G59" s="16">
        <f t="shared" si="0"/>
        <v>0.04</v>
      </c>
      <c r="L59" s="3">
        <v>8.4538084574171961</v>
      </c>
      <c r="M59" s="3">
        <f t="shared" si="1"/>
        <v>10.398184402623151</v>
      </c>
      <c r="N59" s="3">
        <f t="shared" si="2"/>
        <v>10.144570148900636</v>
      </c>
      <c r="O59" s="3">
        <f t="shared" si="3"/>
        <v>9.8909558951781182</v>
      </c>
      <c r="P59" s="3">
        <f t="shared" si="4"/>
        <v>9.1723821762976563</v>
      </c>
      <c r="Q59" s="3">
        <f t="shared" si="5"/>
        <v>8.5594038735032179</v>
      </c>
      <c r="S59" t="s">
        <v>375</v>
      </c>
      <c r="T59" t="s">
        <v>213</v>
      </c>
      <c r="U59" t="s">
        <v>213</v>
      </c>
      <c r="V59" t="s">
        <v>213</v>
      </c>
      <c r="W59" t="s">
        <v>213</v>
      </c>
      <c r="X59" t="s">
        <v>213</v>
      </c>
      <c r="Y59" t="s">
        <v>213</v>
      </c>
    </row>
    <row r="60" spans="1:25" x14ac:dyDescent="0.2">
      <c r="A60" t="s">
        <v>103</v>
      </c>
      <c r="B60" t="s">
        <v>510</v>
      </c>
      <c r="C60" t="s">
        <v>429</v>
      </c>
      <c r="D60" s="14" t="s">
        <v>190</v>
      </c>
      <c r="E60" s="14" t="s">
        <v>127</v>
      </c>
      <c r="F60" s="15">
        <v>0.15</v>
      </c>
      <c r="G60" s="16">
        <f t="shared" si="0"/>
        <v>0.12</v>
      </c>
      <c r="L60" s="3">
        <v>186.29011160965774</v>
      </c>
      <c r="M60" s="3">
        <f t="shared" si="1"/>
        <v>229.13683727987902</v>
      </c>
      <c r="N60" s="3">
        <f t="shared" si="2"/>
        <v>223.54813393158929</v>
      </c>
      <c r="O60" s="3">
        <f t="shared" si="3"/>
        <v>217.95943058329954</v>
      </c>
      <c r="P60" s="3">
        <f t="shared" si="4"/>
        <v>202.12477109647864</v>
      </c>
      <c r="Q60" s="3">
        <f t="shared" si="5"/>
        <v>188.61703703589851</v>
      </c>
      <c r="S60" t="s">
        <v>376</v>
      </c>
      <c r="T60" t="s">
        <v>213</v>
      </c>
      <c r="U60">
        <v>7</v>
      </c>
      <c r="V60" t="s">
        <v>213</v>
      </c>
      <c r="W60" t="s">
        <v>213</v>
      </c>
      <c r="X60" t="s">
        <v>213</v>
      </c>
      <c r="Y60" t="s">
        <v>213</v>
      </c>
    </row>
    <row r="61" spans="1:25" x14ac:dyDescent="0.2">
      <c r="A61" t="s">
        <v>104</v>
      </c>
      <c r="B61" t="s">
        <v>511</v>
      </c>
      <c r="C61" t="s">
        <v>429</v>
      </c>
      <c r="D61" s="14" t="s">
        <v>190</v>
      </c>
      <c r="E61" s="14" t="s">
        <v>127</v>
      </c>
      <c r="F61" s="15">
        <v>0.15</v>
      </c>
      <c r="G61" s="16">
        <f t="shared" si="0"/>
        <v>0.12</v>
      </c>
      <c r="L61" s="3">
        <v>129.48950188645719</v>
      </c>
      <c r="M61" s="3">
        <f t="shared" si="1"/>
        <v>159.27208732034234</v>
      </c>
      <c r="N61" s="3">
        <f t="shared" si="2"/>
        <v>155.38740226374861</v>
      </c>
      <c r="O61" s="3">
        <f t="shared" si="3"/>
        <v>151.50271720715492</v>
      </c>
      <c r="P61" s="3">
        <f t="shared" si="4"/>
        <v>140.49610954680605</v>
      </c>
      <c r="Q61" s="3">
        <f t="shared" si="5"/>
        <v>131.10693832346038</v>
      </c>
      <c r="S61" t="s">
        <v>376</v>
      </c>
      <c r="T61" t="s">
        <v>213</v>
      </c>
      <c r="U61">
        <v>7</v>
      </c>
      <c r="V61" t="s">
        <v>213</v>
      </c>
      <c r="W61" t="s">
        <v>213</v>
      </c>
      <c r="X61" t="s">
        <v>213</v>
      </c>
      <c r="Y61" t="s">
        <v>213</v>
      </c>
    </row>
    <row r="62" spans="1:25" x14ac:dyDescent="0.2">
      <c r="A62" t="s">
        <v>105</v>
      </c>
      <c r="B62" t="s">
        <v>219</v>
      </c>
      <c r="C62" t="s">
        <v>429</v>
      </c>
      <c r="D62" s="14" t="s">
        <v>190</v>
      </c>
      <c r="E62" s="14" t="s">
        <v>127</v>
      </c>
      <c r="F62" s="15">
        <v>0.15</v>
      </c>
      <c r="G62" s="16">
        <f t="shared" si="0"/>
        <v>0.12</v>
      </c>
      <c r="L62" s="3">
        <v>200.73170731707319</v>
      </c>
      <c r="M62" s="3">
        <f t="shared" si="1"/>
        <v>246.9</v>
      </c>
      <c r="N62" s="3">
        <f t="shared" si="2"/>
        <v>240.8780487804878</v>
      </c>
      <c r="O62" s="3">
        <f t="shared" si="3"/>
        <v>234.85609756097563</v>
      </c>
      <c r="P62" s="3">
        <f t="shared" si="4"/>
        <v>217.79390243902441</v>
      </c>
      <c r="Q62" s="3">
        <f t="shared" si="5"/>
        <v>203.23902082702227</v>
      </c>
      <c r="S62" t="s">
        <v>376</v>
      </c>
      <c r="T62" t="s">
        <v>213</v>
      </c>
      <c r="U62">
        <v>10.1</v>
      </c>
      <c r="V62" t="s">
        <v>213</v>
      </c>
      <c r="W62" t="s">
        <v>213</v>
      </c>
      <c r="X62" t="s">
        <v>213</v>
      </c>
      <c r="Y62" t="s">
        <v>213</v>
      </c>
    </row>
    <row r="63" spans="1:25" x14ac:dyDescent="0.2">
      <c r="A63" t="s">
        <v>106</v>
      </c>
      <c r="B63" t="s">
        <v>512</v>
      </c>
      <c r="C63" t="s">
        <v>429</v>
      </c>
      <c r="D63" s="14" t="s">
        <v>190</v>
      </c>
      <c r="E63" s="14" t="s">
        <v>127</v>
      </c>
      <c r="F63" s="15">
        <v>0.15</v>
      </c>
      <c r="G63" s="16">
        <f t="shared" si="0"/>
        <v>0.12</v>
      </c>
      <c r="L63" s="3">
        <v>160.52032520325204</v>
      </c>
      <c r="M63" s="3">
        <f t="shared" si="1"/>
        <v>197.44</v>
      </c>
      <c r="N63" s="3">
        <f t="shared" si="2"/>
        <v>192.62439024390244</v>
      </c>
      <c r="O63" s="3">
        <f t="shared" si="3"/>
        <v>187.80878048780488</v>
      </c>
      <c r="P63" s="3">
        <f t="shared" si="4"/>
        <v>174.16455284552848</v>
      </c>
      <c r="Q63" s="3">
        <f t="shared" si="5"/>
        <v>162.52536359695131</v>
      </c>
      <c r="S63" t="s">
        <v>376</v>
      </c>
      <c r="T63" t="s">
        <v>213</v>
      </c>
      <c r="U63">
        <v>10.1</v>
      </c>
      <c r="V63" t="s">
        <v>213</v>
      </c>
      <c r="W63" t="s">
        <v>213</v>
      </c>
      <c r="X63" t="s">
        <v>213</v>
      </c>
      <c r="Y63" t="s">
        <v>213</v>
      </c>
    </row>
    <row r="64" spans="1:25" x14ac:dyDescent="0.2">
      <c r="A64" t="s">
        <v>107</v>
      </c>
      <c r="B64" t="s">
        <v>513</v>
      </c>
      <c r="C64" t="s">
        <v>429</v>
      </c>
      <c r="D64" s="14" t="s">
        <v>190</v>
      </c>
      <c r="E64" s="14" t="s">
        <v>127</v>
      </c>
      <c r="F64" s="15">
        <v>0.15</v>
      </c>
      <c r="G64" s="16">
        <f t="shared" si="0"/>
        <v>0.12</v>
      </c>
      <c r="L64" s="3">
        <v>217.78048780487805</v>
      </c>
      <c r="M64" s="3">
        <f t="shared" si="1"/>
        <v>267.87</v>
      </c>
      <c r="N64" s="3">
        <f t="shared" si="2"/>
        <v>261.33658536585364</v>
      </c>
      <c r="O64" s="3">
        <f t="shared" si="3"/>
        <v>254.8031707317073</v>
      </c>
      <c r="P64" s="3">
        <f t="shared" si="4"/>
        <v>236.29182926829267</v>
      </c>
      <c r="Q64" s="3">
        <f t="shared" si="5"/>
        <v>220.50075540273167</v>
      </c>
      <c r="S64" t="s">
        <v>376</v>
      </c>
      <c r="T64" t="s">
        <v>213</v>
      </c>
      <c r="U64">
        <v>10.1</v>
      </c>
      <c r="V64" t="s">
        <v>213</v>
      </c>
      <c r="W64" t="s">
        <v>213</v>
      </c>
      <c r="X64" t="s">
        <v>213</v>
      </c>
      <c r="Y64" t="s">
        <v>213</v>
      </c>
    </row>
    <row r="65" spans="1:25" x14ac:dyDescent="0.2">
      <c r="A65" t="s">
        <v>108</v>
      </c>
      <c r="B65" t="s">
        <v>221</v>
      </c>
      <c r="C65" t="s">
        <v>429</v>
      </c>
      <c r="D65" s="14" t="s">
        <v>190</v>
      </c>
      <c r="E65" s="14" t="s">
        <v>127</v>
      </c>
      <c r="F65" s="15">
        <v>0.15</v>
      </c>
      <c r="G65" s="16">
        <f t="shared" si="0"/>
        <v>0.12</v>
      </c>
      <c r="L65" s="3">
        <v>280.92682926829269</v>
      </c>
      <c r="M65" s="3">
        <f t="shared" si="1"/>
        <v>345.54</v>
      </c>
      <c r="N65" s="3">
        <f t="shared" si="2"/>
        <v>337.11219512195123</v>
      </c>
      <c r="O65" s="3">
        <f t="shared" si="3"/>
        <v>328.68439024390244</v>
      </c>
      <c r="P65" s="3">
        <f t="shared" si="4"/>
        <v>304.80560975609757</v>
      </c>
      <c r="Q65" s="3">
        <f t="shared" si="5"/>
        <v>284.4358495608314</v>
      </c>
      <c r="S65" t="s">
        <v>376</v>
      </c>
      <c r="T65" t="s">
        <v>213</v>
      </c>
      <c r="U65">
        <v>15</v>
      </c>
      <c r="V65" t="s">
        <v>213</v>
      </c>
      <c r="W65" t="s">
        <v>213</v>
      </c>
      <c r="X65" t="s">
        <v>213</v>
      </c>
      <c r="Y65" t="s">
        <v>213</v>
      </c>
    </row>
    <row r="66" spans="1:25" x14ac:dyDescent="0.2">
      <c r="A66" t="s">
        <v>109</v>
      </c>
      <c r="B66" t="s">
        <v>222</v>
      </c>
      <c r="C66" t="s">
        <v>429</v>
      </c>
      <c r="D66" s="14" t="s">
        <v>190</v>
      </c>
      <c r="E66" s="14" t="s">
        <v>127</v>
      </c>
      <c r="F66" s="15">
        <v>0.15</v>
      </c>
      <c r="G66" s="16">
        <f t="shared" si="0"/>
        <v>0.12</v>
      </c>
      <c r="L66" s="3">
        <v>326.55284552845529</v>
      </c>
      <c r="M66" s="3">
        <f t="shared" si="1"/>
        <v>401.66</v>
      </c>
      <c r="N66" s="3">
        <f t="shared" si="2"/>
        <v>391.86341463414635</v>
      </c>
      <c r="O66" s="3">
        <f t="shared" si="3"/>
        <v>382.06682926829268</v>
      </c>
      <c r="P66" s="3">
        <f t="shared" si="4"/>
        <v>354.30983739837399</v>
      </c>
      <c r="Q66" s="3">
        <f t="shared" si="5"/>
        <v>330.6317744243895</v>
      </c>
      <c r="S66" t="s">
        <v>376</v>
      </c>
      <c r="T66" t="s">
        <v>213</v>
      </c>
      <c r="U66">
        <v>15.6</v>
      </c>
      <c r="V66" t="s">
        <v>213</v>
      </c>
      <c r="W66" t="s">
        <v>213</v>
      </c>
      <c r="X66" t="s">
        <v>213</v>
      </c>
      <c r="Y66" t="s">
        <v>213</v>
      </c>
    </row>
    <row r="67" spans="1:25" x14ac:dyDescent="0.2">
      <c r="A67" t="s">
        <v>110</v>
      </c>
      <c r="B67" t="s">
        <v>223</v>
      </c>
      <c r="C67" t="s">
        <v>429</v>
      </c>
      <c r="D67" s="14" t="s">
        <v>190</v>
      </c>
      <c r="E67" s="14" t="s">
        <v>127</v>
      </c>
      <c r="F67" s="15">
        <v>0.15</v>
      </c>
      <c r="G67" s="16">
        <f t="shared" ref="G67:G81" si="6">IF(D67="Sim",0.12,0.04)</f>
        <v>0.12</v>
      </c>
      <c r="L67" s="3">
        <v>381.35772357723579</v>
      </c>
      <c r="M67" s="3">
        <f t="shared" ref="M67:M81" si="7">L67*1.23</f>
        <v>469.07</v>
      </c>
      <c r="N67" s="3">
        <f t="shared" ref="N67:N81" si="8">L67*1.2</f>
        <v>457.62926829268292</v>
      </c>
      <c r="O67" s="3">
        <f t="shared" ref="O67:O81" si="9">L67*1.17</f>
        <v>446.18853658536585</v>
      </c>
      <c r="P67" s="3">
        <f t="shared" ref="P67:P81" si="10">(O67+L67)/2</f>
        <v>413.77313008130079</v>
      </c>
      <c r="Q67" s="3">
        <f t="shared" ref="Q67:Q81" si="11">L67*1.01249086924762</f>
        <v>386.12121303900904</v>
      </c>
      <c r="S67" t="s">
        <v>376</v>
      </c>
      <c r="T67" t="s">
        <v>213</v>
      </c>
      <c r="U67">
        <v>17</v>
      </c>
      <c r="V67" t="s">
        <v>213</v>
      </c>
      <c r="W67" t="s">
        <v>213</v>
      </c>
      <c r="X67" t="s">
        <v>213</v>
      </c>
      <c r="Y67" t="s">
        <v>213</v>
      </c>
    </row>
    <row r="68" spans="1:25" x14ac:dyDescent="0.2">
      <c r="A68" t="s">
        <v>111</v>
      </c>
      <c r="B68" t="s">
        <v>224</v>
      </c>
      <c r="C68" t="s">
        <v>429</v>
      </c>
      <c r="D68" s="14" t="s">
        <v>190</v>
      </c>
      <c r="E68" s="14" t="s">
        <v>127</v>
      </c>
      <c r="F68" s="15">
        <v>0.15</v>
      </c>
      <c r="G68" s="16">
        <f t="shared" si="6"/>
        <v>0.12</v>
      </c>
      <c r="L68" s="3">
        <v>384.2520325203252</v>
      </c>
      <c r="M68" s="3">
        <f t="shared" si="7"/>
        <v>472.63</v>
      </c>
      <c r="N68" s="3">
        <f t="shared" si="8"/>
        <v>461.10243902439021</v>
      </c>
      <c r="O68" s="3">
        <f t="shared" si="9"/>
        <v>449.57487804878048</v>
      </c>
      <c r="P68" s="3">
        <f t="shared" si="10"/>
        <v>416.91345528455281</v>
      </c>
      <c r="Q68" s="3">
        <f t="shared" si="11"/>
        <v>389.05167441666879</v>
      </c>
      <c r="S68" t="s">
        <v>376</v>
      </c>
      <c r="T68" t="s">
        <v>213</v>
      </c>
      <c r="U68">
        <v>18.5</v>
      </c>
      <c r="V68" t="s">
        <v>213</v>
      </c>
      <c r="W68" t="s">
        <v>213</v>
      </c>
      <c r="X68" t="s">
        <v>213</v>
      </c>
      <c r="Y68" t="s">
        <v>213</v>
      </c>
    </row>
    <row r="69" spans="1:25" x14ac:dyDescent="0.2">
      <c r="A69" t="s">
        <v>112</v>
      </c>
      <c r="B69" t="s">
        <v>225</v>
      </c>
      <c r="C69" t="s">
        <v>429</v>
      </c>
      <c r="D69" s="14" t="s">
        <v>190</v>
      </c>
      <c r="E69" s="14" t="s">
        <v>127</v>
      </c>
      <c r="F69" s="15">
        <v>0.15</v>
      </c>
      <c r="G69" s="16">
        <f t="shared" si="6"/>
        <v>0.12</v>
      </c>
      <c r="L69" s="3">
        <v>408.60162601626018</v>
      </c>
      <c r="M69" s="3">
        <f t="shared" si="7"/>
        <v>502.58000000000004</v>
      </c>
      <c r="N69" s="3">
        <f t="shared" si="8"/>
        <v>490.32195121951219</v>
      </c>
      <c r="O69" s="3">
        <f t="shared" si="9"/>
        <v>478.06390243902439</v>
      </c>
      <c r="P69" s="3">
        <f t="shared" si="10"/>
        <v>443.33276422764231</v>
      </c>
      <c r="Q69" s="3">
        <f t="shared" si="11"/>
        <v>413.70541550119424</v>
      </c>
      <c r="S69" t="s">
        <v>376</v>
      </c>
      <c r="T69" t="s">
        <v>213</v>
      </c>
      <c r="U69">
        <v>21.5</v>
      </c>
      <c r="V69" t="s">
        <v>213</v>
      </c>
      <c r="W69" t="s">
        <v>213</v>
      </c>
      <c r="X69" t="s">
        <v>213</v>
      </c>
      <c r="Y69" t="s">
        <v>213</v>
      </c>
    </row>
    <row r="70" spans="1:25" x14ac:dyDescent="0.2">
      <c r="A70" t="s">
        <v>113</v>
      </c>
      <c r="B70" t="s">
        <v>226</v>
      </c>
      <c r="C70" t="s">
        <v>429</v>
      </c>
      <c r="D70" s="14" t="s">
        <v>190</v>
      </c>
      <c r="E70" s="14" t="s">
        <v>127</v>
      </c>
      <c r="F70" s="15">
        <v>0.15</v>
      </c>
      <c r="G70" s="16">
        <f t="shared" si="6"/>
        <v>0.12</v>
      </c>
      <c r="L70" s="3">
        <v>441.73170731707319</v>
      </c>
      <c r="M70" s="3">
        <f t="shared" si="7"/>
        <v>543.33000000000004</v>
      </c>
      <c r="N70" s="3">
        <f t="shared" si="8"/>
        <v>530.07804878048785</v>
      </c>
      <c r="O70" s="3">
        <f t="shared" si="9"/>
        <v>516.82609756097565</v>
      </c>
      <c r="P70" s="3">
        <f t="shared" si="10"/>
        <v>479.27890243902442</v>
      </c>
      <c r="Q70" s="3">
        <f t="shared" si="11"/>
        <v>447.2493203156987</v>
      </c>
      <c r="S70" t="s">
        <v>376</v>
      </c>
      <c r="T70" t="s">
        <v>213</v>
      </c>
      <c r="U70">
        <v>23.8</v>
      </c>
      <c r="V70" t="s">
        <v>213</v>
      </c>
      <c r="W70" t="s">
        <v>213</v>
      </c>
      <c r="X70" t="s">
        <v>213</v>
      </c>
      <c r="Y70" t="s">
        <v>213</v>
      </c>
    </row>
    <row r="71" spans="1:25" x14ac:dyDescent="0.2">
      <c r="A71" t="s">
        <v>114</v>
      </c>
      <c r="B71" t="s">
        <v>227</v>
      </c>
      <c r="C71" t="s">
        <v>429</v>
      </c>
      <c r="D71" s="14" t="s">
        <v>190</v>
      </c>
      <c r="E71" s="14" t="s">
        <v>127</v>
      </c>
      <c r="F71" s="15">
        <v>0.15</v>
      </c>
      <c r="G71" s="16">
        <f t="shared" si="6"/>
        <v>0.12</v>
      </c>
      <c r="L71" s="3">
        <v>534.7479674796748</v>
      </c>
      <c r="M71" s="3">
        <f t="shared" si="7"/>
        <v>657.74</v>
      </c>
      <c r="N71" s="3">
        <f t="shared" si="8"/>
        <v>641.69756097560969</v>
      </c>
      <c r="O71" s="3">
        <f t="shared" si="9"/>
        <v>625.65512195121948</v>
      </c>
      <c r="P71" s="3">
        <f t="shared" si="10"/>
        <v>580.2015447154472</v>
      </c>
      <c r="Q71" s="3">
        <f t="shared" si="11"/>
        <v>541.42743442189396</v>
      </c>
      <c r="S71" t="s">
        <v>376</v>
      </c>
      <c r="T71" t="s">
        <v>213</v>
      </c>
      <c r="U71">
        <v>27</v>
      </c>
      <c r="V71" t="s">
        <v>213</v>
      </c>
      <c r="W71" t="s">
        <v>213</v>
      </c>
      <c r="X71" t="s">
        <v>213</v>
      </c>
      <c r="Y71" t="s">
        <v>213</v>
      </c>
    </row>
    <row r="72" spans="1:25" x14ac:dyDescent="0.2">
      <c r="A72" t="s">
        <v>115</v>
      </c>
      <c r="B72" t="s">
        <v>514</v>
      </c>
      <c r="C72" t="s">
        <v>429</v>
      </c>
      <c r="D72" s="14" t="s">
        <v>190</v>
      </c>
      <c r="E72" s="14" t="s">
        <v>127</v>
      </c>
      <c r="F72" s="15">
        <v>0.15</v>
      </c>
      <c r="G72" s="16">
        <f t="shared" si="6"/>
        <v>0.12</v>
      </c>
      <c r="L72" s="3">
        <v>799.13821138211392</v>
      </c>
      <c r="M72" s="3">
        <f t="shared" si="7"/>
        <v>982.94</v>
      </c>
      <c r="N72" s="3">
        <f t="shared" si="8"/>
        <v>958.96585365853662</v>
      </c>
      <c r="O72" s="3">
        <f t="shared" si="9"/>
        <v>934.99170731707318</v>
      </c>
      <c r="P72" s="3">
        <f t="shared" si="10"/>
        <v>867.06495934959355</v>
      </c>
      <c r="Q72" s="3">
        <f t="shared" si="11"/>
        <v>809.12014229126487</v>
      </c>
      <c r="S72" t="s">
        <v>376</v>
      </c>
      <c r="T72" t="s">
        <v>213</v>
      </c>
      <c r="U72">
        <v>32</v>
      </c>
      <c r="V72" t="s">
        <v>213</v>
      </c>
      <c r="W72" t="s">
        <v>213</v>
      </c>
      <c r="X72" t="s">
        <v>213</v>
      </c>
      <c r="Y72" t="s">
        <v>213</v>
      </c>
    </row>
    <row r="73" spans="1:25" x14ac:dyDescent="0.2">
      <c r="A73" t="s">
        <v>116</v>
      </c>
      <c r="B73" t="s">
        <v>229</v>
      </c>
      <c r="C73" t="s">
        <v>429</v>
      </c>
      <c r="D73" s="14" t="s">
        <v>190</v>
      </c>
      <c r="E73" s="14" t="s">
        <v>127</v>
      </c>
      <c r="F73" s="15">
        <v>0.15</v>
      </c>
      <c r="G73" s="16">
        <f t="shared" si="6"/>
        <v>0.12</v>
      </c>
      <c r="L73" s="3">
        <v>2239.479674796748</v>
      </c>
      <c r="M73" s="3">
        <f t="shared" si="7"/>
        <v>2754.56</v>
      </c>
      <c r="N73" s="3">
        <f t="shared" si="8"/>
        <v>2687.3756097560977</v>
      </c>
      <c r="O73" s="3">
        <f t="shared" si="9"/>
        <v>2620.1912195121949</v>
      </c>
      <c r="P73" s="3">
        <f t="shared" si="10"/>
        <v>2429.8354471544717</v>
      </c>
      <c r="Q73" s="3">
        <f t="shared" si="11"/>
        <v>2267.4527225973366</v>
      </c>
      <c r="S73" t="s">
        <v>376</v>
      </c>
      <c r="T73" t="s">
        <v>213</v>
      </c>
      <c r="U73">
        <v>55</v>
      </c>
      <c r="V73" t="s">
        <v>213</v>
      </c>
      <c r="W73" t="s">
        <v>213</v>
      </c>
      <c r="X73" t="s">
        <v>213</v>
      </c>
      <c r="Y73" t="s">
        <v>213</v>
      </c>
    </row>
    <row r="74" spans="1:25" x14ac:dyDescent="0.2">
      <c r="A74" t="s">
        <v>118</v>
      </c>
      <c r="B74" t="s">
        <v>234</v>
      </c>
      <c r="C74" t="s">
        <v>429</v>
      </c>
      <c r="D74" s="14" t="s">
        <v>190</v>
      </c>
      <c r="E74" s="14" t="s">
        <v>127</v>
      </c>
      <c r="F74" s="15">
        <v>0.15</v>
      </c>
      <c r="G74" s="16">
        <f t="shared" si="6"/>
        <v>0.12</v>
      </c>
      <c r="L74" s="3">
        <v>222.11382113821136</v>
      </c>
      <c r="M74" s="3">
        <f t="shared" si="7"/>
        <v>273.2</v>
      </c>
      <c r="N74" s="3">
        <f t="shared" si="8"/>
        <v>266.53658536585363</v>
      </c>
      <c r="O74" s="3">
        <f t="shared" si="9"/>
        <v>259.87317073170726</v>
      </c>
      <c r="P74" s="3">
        <f t="shared" si="10"/>
        <v>240.9934959349593</v>
      </c>
      <c r="Q74" s="3">
        <f t="shared" si="11"/>
        <v>224.88821583613802</v>
      </c>
      <c r="S74" t="s">
        <v>376</v>
      </c>
      <c r="T74" t="s">
        <v>213</v>
      </c>
      <c r="U74">
        <v>10.1</v>
      </c>
      <c r="V74" t="s">
        <v>213</v>
      </c>
      <c r="W74" t="s">
        <v>213</v>
      </c>
      <c r="X74" t="s">
        <v>213</v>
      </c>
      <c r="Y74" t="s">
        <v>213</v>
      </c>
    </row>
    <row r="75" spans="1:25" x14ac:dyDescent="0.2">
      <c r="A75" t="s">
        <v>119</v>
      </c>
      <c r="B75" t="s">
        <v>515</v>
      </c>
      <c r="C75" t="s">
        <v>429</v>
      </c>
      <c r="D75" s="14" t="s">
        <v>190</v>
      </c>
      <c r="E75" s="14" t="s">
        <v>127</v>
      </c>
      <c r="F75" s="15">
        <v>0.15</v>
      </c>
      <c r="G75" s="16">
        <f t="shared" si="6"/>
        <v>0.12</v>
      </c>
      <c r="L75" s="3">
        <v>217.90243902439022</v>
      </c>
      <c r="M75" s="3">
        <f t="shared" si="7"/>
        <v>268.02</v>
      </c>
      <c r="N75" s="3">
        <f t="shared" si="8"/>
        <v>261.48292682926825</v>
      </c>
      <c r="O75" s="3">
        <f t="shared" si="9"/>
        <v>254.94585365853655</v>
      </c>
      <c r="P75" s="3">
        <f t="shared" si="10"/>
        <v>236.42414634146337</v>
      </c>
      <c r="Q75" s="3">
        <f t="shared" si="11"/>
        <v>220.62422989898135</v>
      </c>
      <c r="S75" t="s">
        <v>376</v>
      </c>
      <c r="T75" t="s">
        <v>213</v>
      </c>
      <c r="U75">
        <v>10.1</v>
      </c>
      <c r="V75" t="s">
        <v>213</v>
      </c>
      <c r="W75" t="s">
        <v>213</v>
      </c>
      <c r="X75" t="s">
        <v>213</v>
      </c>
      <c r="Y75" t="s">
        <v>213</v>
      </c>
    </row>
    <row r="76" spans="1:25" x14ac:dyDescent="0.2">
      <c r="A76" t="s">
        <v>120</v>
      </c>
      <c r="B76" t="s">
        <v>520</v>
      </c>
      <c r="C76" t="s">
        <v>429</v>
      </c>
      <c r="D76" s="14" t="s">
        <v>190</v>
      </c>
      <c r="E76" s="14" t="s">
        <v>127</v>
      </c>
      <c r="F76" s="15">
        <v>0.15</v>
      </c>
      <c r="G76" s="16">
        <f t="shared" si="6"/>
        <v>0.12</v>
      </c>
      <c r="L76" s="3">
        <v>324.26829268292687</v>
      </c>
      <c r="M76" s="3">
        <f t="shared" si="7"/>
        <v>398.85</v>
      </c>
      <c r="N76" s="3">
        <f t="shared" si="8"/>
        <v>389.12195121951225</v>
      </c>
      <c r="O76" s="3">
        <f t="shared" si="9"/>
        <v>379.39390243902443</v>
      </c>
      <c r="P76" s="3">
        <f t="shared" si="10"/>
        <v>351.83109756097565</v>
      </c>
      <c r="Q76" s="3">
        <f t="shared" si="11"/>
        <v>328.31868552797829</v>
      </c>
      <c r="S76" t="s">
        <v>376</v>
      </c>
      <c r="T76" t="s">
        <v>213</v>
      </c>
      <c r="U76">
        <v>15</v>
      </c>
      <c r="V76" t="s">
        <v>213</v>
      </c>
      <c r="W76" t="s">
        <v>213</v>
      </c>
      <c r="X76" t="s">
        <v>213</v>
      </c>
      <c r="Y76" t="s">
        <v>213</v>
      </c>
    </row>
    <row r="77" spans="1:25" x14ac:dyDescent="0.2">
      <c r="A77" t="s">
        <v>121</v>
      </c>
      <c r="B77" t="s">
        <v>237</v>
      </c>
      <c r="C77" t="s">
        <v>429</v>
      </c>
      <c r="D77" s="14" t="s">
        <v>190</v>
      </c>
      <c r="E77" s="14" t="s">
        <v>127</v>
      </c>
      <c r="F77" s="15">
        <v>0.15</v>
      </c>
      <c r="G77" s="16">
        <f t="shared" si="6"/>
        <v>0.12</v>
      </c>
      <c r="L77" s="3">
        <v>344.01626016260161</v>
      </c>
      <c r="M77" s="3">
        <f t="shared" si="7"/>
        <v>423.14</v>
      </c>
      <c r="N77" s="3">
        <f t="shared" si="8"/>
        <v>412.81951219512194</v>
      </c>
      <c r="O77" s="3">
        <f t="shared" si="9"/>
        <v>402.49902439024385</v>
      </c>
      <c r="P77" s="3">
        <f t="shared" si="10"/>
        <v>373.25764227642276</v>
      </c>
      <c r="Q77" s="3">
        <f t="shared" si="11"/>
        <v>348.31332228734789</v>
      </c>
      <c r="S77" t="s">
        <v>376</v>
      </c>
      <c r="T77" t="s">
        <v>213</v>
      </c>
      <c r="U77">
        <v>15.6</v>
      </c>
      <c r="V77" t="s">
        <v>213</v>
      </c>
      <c r="W77" t="s">
        <v>213</v>
      </c>
      <c r="X77" t="s">
        <v>213</v>
      </c>
      <c r="Y77" t="s">
        <v>213</v>
      </c>
    </row>
    <row r="78" spans="1:25" x14ac:dyDescent="0.2">
      <c r="A78" t="s">
        <v>170</v>
      </c>
      <c r="B78" t="s">
        <v>516</v>
      </c>
      <c r="C78" t="s">
        <v>429</v>
      </c>
      <c r="D78" s="14" t="s">
        <v>190</v>
      </c>
      <c r="E78" s="14" t="s">
        <v>127</v>
      </c>
      <c r="F78" s="15">
        <v>0.15</v>
      </c>
      <c r="G78" s="16">
        <f t="shared" si="6"/>
        <v>0.12</v>
      </c>
      <c r="L78" s="3">
        <v>421.89430894308941</v>
      </c>
      <c r="M78" s="3">
        <f t="shared" si="7"/>
        <v>518.92999999999995</v>
      </c>
      <c r="N78" s="3">
        <f t="shared" si="8"/>
        <v>506.2731707317073</v>
      </c>
      <c r="O78" s="3">
        <f t="shared" si="9"/>
        <v>493.61634146341459</v>
      </c>
      <c r="P78" s="3">
        <f t="shared" si="10"/>
        <v>457.75532520325203</v>
      </c>
      <c r="Q78" s="3">
        <f t="shared" si="11"/>
        <v>427.16413559241255</v>
      </c>
      <c r="S78" t="s">
        <v>376</v>
      </c>
      <c r="T78" t="s">
        <v>213</v>
      </c>
      <c r="U78">
        <v>17</v>
      </c>
      <c r="V78" t="s">
        <v>213</v>
      </c>
      <c r="W78" t="s">
        <v>213</v>
      </c>
      <c r="X78" t="s">
        <v>213</v>
      </c>
      <c r="Y78" t="s">
        <v>213</v>
      </c>
    </row>
    <row r="79" spans="1:25" x14ac:dyDescent="0.2">
      <c r="A79" t="s">
        <v>122</v>
      </c>
      <c r="B79" t="s">
        <v>239</v>
      </c>
      <c r="C79" t="s">
        <v>429</v>
      </c>
      <c r="D79" s="14" t="s">
        <v>190</v>
      </c>
      <c r="E79" s="14" t="s">
        <v>127</v>
      </c>
      <c r="F79" s="15">
        <v>0.15</v>
      </c>
      <c r="G79" s="16">
        <f t="shared" si="6"/>
        <v>0.12</v>
      </c>
      <c r="L79" s="3">
        <v>428.1869918699187</v>
      </c>
      <c r="M79" s="3">
        <f t="shared" si="7"/>
        <v>526.66999999999996</v>
      </c>
      <c r="N79" s="3">
        <f t="shared" si="8"/>
        <v>513.82439024390237</v>
      </c>
      <c r="O79" s="3">
        <f t="shared" si="9"/>
        <v>500.97878048780484</v>
      </c>
      <c r="P79" s="3">
        <f t="shared" si="10"/>
        <v>464.58288617886177</v>
      </c>
      <c r="Q79" s="3">
        <f t="shared" si="11"/>
        <v>433.53541959889759</v>
      </c>
      <c r="S79" t="s">
        <v>376</v>
      </c>
      <c r="T79" t="s">
        <v>213</v>
      </c>
      <c r="U79">
        <v>18.5</v>
      </c>
      <c r="V79" t="s">
        <v>213</v>
      </c>
      <c r="W79" t="s">
        <v>213</v>
      </c>
      <c r="X79" t="s">
        <v>213</v>
      </c>
      <c r="Y79" t="s">
        <v>213</v>
      </c>
    </row>
    <row r="80" spans="1:25" x14ac:dyDescent="0.2">
      <c r="A80" t="s">
        <v>123</v>
      </c>
      <c r="B80" t="s">
        <v>521</v>
      </c>
      <c r="C80" t="s">
        <v>431</v>
      </c>
      <c r="D80" s="14" t="s">
        <v>190</v>
      </c>
      <c r="E80" s="14" t="s">
        <v>213</v>
      </c>
      <c r="F80" s="15">
        <v>0.1</v>
      </c>
      <c r="G80" s="16">
        <f t="shared" si="6"/>
        <v>0.12</v>
      </c>
      <c r="L80" s="3">
        <v>44.45327987895454</v>
      </c>
      <c r="M80" s="3">
        <f t="shared" si="7"/>
        <v>54.677534251114082</v>
      </c>
      <c r="N80" s="3">
        <f t="shared" si="8"/>
        <v>53.343935854745446</v>
      </c>
      <c r="O80" s="3">
        <f t="shared" si="9"/>
        <v>52.01033745837681</v>
      </c>
      <c r="P80" s="3">
        <f t="shared" si="10"/>
        <v>48.231808668665678</v>
      </c>
      <c r="Q80" s="3">
        <f t="shared" si="11"/>
        <v>45.008539985550421</v>
      </c>
      <c r="S80" t="s">
        <v>377</v>
      </c>
      <c r="T80" t="s">
        <v>213</v>
      </c>
      <c r="U80" t="s">
        <v>213</v>
      </c>
      <c r="V80" t="s">
        <v>213</v>
      </c>
      <c r="W80" t="s">
        <v>213</v>
      </c>
      <c r="X80" t="s">
        <v>213</v>
      </c>
      <c r="Y80" t="s">
        <v>213</v>
      </c>
    </row>
    <row r="81" spans="1:25" x14ac:dyDescent="0.2">
      <c r="A81" t="s">
        <v>124</v>
      </c>
      <c r="B81" t="s">
        <v>241</v>
      </c>
      <c r="C81" t="s">
        <v>431</v>
      </c>
      <c r="D81" s="14" t="s">
        <v>190</v>
      </c>
      <c r="E81" s="14" t="s">
        <v>213</v>
      </c>
      <c r="F81" s="15">
        <v>0.1</v>
      </c>
      <c r="G81" s="16">
        <f t="shared" si="6"/>
        <v>0.12</v>
      </c>
      <c r="L81" s="3">
        <v>59.694404408881809</v>
      </c>
      <c r="M81" s="3">
        <f t="shared" si="7"/>
        <v>73.424117422924624</v>
      </c>
      <c r="N81" s="3">
        <f t="shared" si="8"/>
        <v>71.633285290658165</v>
      </c>
      <c r="O81" s="3">
        <f t="shared" si="9"/>
        <v>69.842453158391706</v>
      </c>
      <c r="P81" s="3">
        <f t="shared" si="10"/>
        <v>64.76842878363675</v>
      </c>
      <c r="Q81" s="3">
        <f t="shared" si="11"/>
        <v>60.440039409167703</v>
      </c>
      <c r="S81" t="s">
        <v>377</v>
      </c>
      <c r="T81" t="s">
        <v>213</v>
      </c>
      <c r="U81" t="s">
        <v>213</v>
      </c>
      <c r="V81" t="s">
        <v>213</v>
      </c>
      <c r="W81" t="s">
        <v>213</v>
      </c>
      <c r="X81" t="s">
        <v>213</v>
      </c>
      <c r="Y81" t="s">
        <v>213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9276-BBC6-5B4D-BB92-A5D94A5D479E}">
  <dimension ref="A1:Y117"/>
  <sheetViews>
    <sheetView workbookViewId="0">
      <selection activeCell="Q2" sqref="Q2"/>
    </sheetView>
  </sheetViews>
  <sheetFormatPr baseColWidth="10" defaultColWidth="10.83203125" defaultRowHeight="16" x14ac:dyDescent="0.2"/>
  <cols>
    <col min="1" max="1" width="16.83203125" bestFit="1" customWidth="1"/>
    <col min="2" max="2" width="69.5" bestFit="1" customWidth="1"/>
    <col min="3" max="3" width="11" customWidth="1"/>
    <col min="4" max="4" width="5.6640625" customWidth="1"/>
    <col min="5" max="5" width="8.33203125" customWidth="1"/>
    <col min="6" max="6" width="5.6640625" style="1" customWidth="1"/>
    <col min="7" max="7" width="6.1640625" style="1" customWidth="1"/>
    <col min="8" max="8" width="9.33203125" style="1" customWidth="1"/>
    <col min="9" max="9" width="12.1640625" style="1" customWidth="1"/>
    <col min="10" max="10" width="6.5" style="1" customWidth="1"/>
    <col min="11" max="11" width="8.83203125" style="2" customWidth="1"/>
    <col min="12" max="12" width="10.83203125" customWidth="1"/>
    <col min="13" max="15" width="10.5" style="3" customWidth="1"/>
    <col min="16" max="16" width="13" style="3" customWidth="1"/>
    <col min="17" max="17" width="15.5" style="3" customWidth="1"/>
    <col min="18" max="18" width="16" customWidth="1"/>
    <col min="19" max="19" width="23.1640625" customWidth="1"/>
    <col min="20" max="20" width="15.33203125" customWidth="1"/>
    <col min="21" max="21" width="15.83203125" customWidth="1"/>
    <col min="22" max="22" width="17.6640625" customWidth="1"/>
    <col min="23" max="23" width="15.6640625" customWidth="1"/>
  </cols>
  <sheetData>
    <row r="1" spans="1:25" x14ac:dyDescent="0.2">
      <c r="A1" s="5" t="s">
        <v>0</v>
      </c>
      <c r="B1" s="5" t="s">
        <v>27</v>
      </c>
      <c r="C1" s="5" t="s">
        <v>394</v>
      </c>
      <c r="D1" s="5" t="s">
        <v>28</v>
      </c>
      <c r="E1" s="5" t="s">
        <v>29</v>
      </c>
      <c r="F1" s="6" t="s">
        <v>30</v>
      </c>
      <c r="G1" s="6" t="s">
        <v>445</v>
      </c>
      <c r="H1" s="4" t="s">
        <v>395</v>
      </c>
      <c r="I1" s="4" t="s">
        <v>442</v>
      </c>
      <c r="J1" s="4" t="s">
        <v>443</v>
      </c>
      <c r="K1" s="12" t="s">
        <v>444</v>
      </c>
      <c r="L1" s="5" t="s">
        <v>31</v>
      </c>
      <c r="M1" s="7" t="s">
        <v>32</v>
      </c>
      <c r="N1" s="7" t="s">
        <v>33</v>
      </c>
      <c r="O1" s="7" t="s">
        <v>34</v>
      </c>
      <c r="P1" s="7" t="s">
        <v>245</v>
      </c>
      <c r="Q1" s="7" t="s">
        <v>246</v>
      </c>
      <c r="R1" s="8" t="s">
        <v>368</v>
      </c>
      <c r="S1" s="8" t="s">
        <v>370</v>
      </c>
      <c r="T1" s="8" t="s">
        <v>379</v>
      </c>
      <c r="U1" s="8" t="s">
        <v>386</v>
      </c>
      <c r="V1" s="8" t="s">
        <v>387</v>
      </c>
      <c r="W1" s="8" t="s">
        <v>390</v>
      </c>
      <c r="X1" s="8" t="s">
        <v>388</v>
      </c>
      <c r="Y1" s="8" t="s">
        <v>389</v>
      </c>
    </row>
    <row r="2" spans="1:25" x14ac:dyDescent="0.2">
      <c r="A2" t="s">
        <v>25</v>
      </c>
      <c r="B2" t="s">
        <v>125</v>
      </c>
      <c r="C2" t="s">
        <v>429</v>
      </c>
      <c r="D2" t="s">
        <v>126</v>
      </c>
      <c r="E2" t="s">
        <v>127</v>
      </c>
      <c r="F2" s="1">
        <v>0.15</v>
      </c>
      <c r="G2" s="1">
        <f>IF(Table1[[#This Row],[PPB]]="Sim",0.12,0.04)</f>
        <v>0.04</v>
      </c>
      <c r="K2" s="2" t="str" cm="1">
        <f t="array" ref="K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" s="3">
        <v>133.21354456988536</v>
      </c>
      <c r="M2" s="3">
        <f>L2*1.23</f>
        <v>163.85265982095899</v>
      </c>
      <c r="N2" s="3">
        <f>L2*1.2</f>
        <v>159.85625348386242</v>
      </c>
      <c r="O2" s="3">
        <f>L2*1.17</f>
        <v>155.85984714676587</v>
      </c>
      <c r="P2" s="3">
        <f>(L2+O2)/2</f>
        <v>144.53669585832563</v>
      </c>
      <c r="Q2" s="3">
        <f>L2*1.01249086924762</f>
        <v>134.87749753711981</v>
      </c>
      <c r="R2" t="str">
        <f>IFERROR(_xlfn.XLOOKUP(A2,'2025 NOV'!A:A,'2025 NOV'!L:L),"NÃO TEM NA LISTA 2025")</f>
        <v>NÃO TEM NA LISTA 2025</v>
      </c>
      <c r="S2" t="s">
        <v>378</v>
      </c>
      <c r="T2" t="s">
        <v>213</v>
      </c>
      <c r="U2">
        <v>10.1</v>
      </c>
      <c r="V2" t="s">
        <v>213</v>
      </c>
      <c r="W2" t="s">
        <v>213</v>
      </c>
      <c r="X2" t="s">
        <v>213</v>
      </c>
      <c r="Y2" t="s">
        <v>213</v>
      </c>
    </row>
    <row r="3" spans="1:25" x14ac:dyDescent="0.2">
      <c r="A3" t="s">
        <v>26</v>
      </c>
      <c r="B3" t="s">
        <v>128</v>
      </c>
      <c r="C3" t="s">
        <v>429</v>
      </c>
      <c r="D3" t="s">
        <v>126</v>
      </c>
      <c r="E3" t="s">
        <v>127</v>
      </c>
      <c r="F3" s="1">
        <v>0.15</v>
      </c>
      <c r="G3" s="1">
        <f>IF(Table1[[#This Row],[PPB]]="Sim",0.12,0.04)</f>
        <v>0.04</v>
      </c>
      <c r="K3" s="2" t="str" cm="1">
        <f t="array" ref="K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" s="3">
        <v>159.38049082468456</v>
      </c>
      <c r="M3" s="3">
        <f t="shared" ref="M3:M66" si="0">L3*1.23</f>
        <v>196.03800371436199</v>
      </c>
      <c r="N3" s="3">
        <f t="shared" ref="N3:N66" si="1">L3*1.2</f>
        <v>191.25658898962146</v>
      </c>
      <c r="O3" s="3">
        <f t="shared" ref="O3:O66" si="2">L3*1.17</f>
        <v>186.47517426488093</v>
      </c>
      <c r="P3" s="3">
        <f t="shared" ref="P3:P66" si="3">(L3+O3)/2</f>
        <v>172.92783254478275</v>
      </c>
      <c r="Q3" s="3">
        <f t="shared" ref="Q3:Q66" si="4">L3*1.01249086924762</f>
        <v>161.3712916961972</v>
      </c>
      <c r="R3" t="str">
        <f>IFERROR(_xlfn.XLOOKUP(A3,'2025 NOV'!A:A,'2025 NOV'!L:L),"NÃO TEM NA LISTA 2025")</f>
        <v>NÃO TEM NA LISTA 2025</v>
      </c>
      <c r="S3" t="s">
        <v>378</v>
      </c>
      <c r="T3" t="s">
        <v>213</v>
      </c>
      <c r="U3">
        <v>10.1</v>
      </c>
      <c r="V3" t="s">
        <v>213</v>
      </c>
      <c r="W3" t="s">
        <v>213</v>
      </c>
      <c r="X3" t="s">
        <v>213</v>
      </c>
      <c r="Y3" t="s">
        <v>213</v>
      </c>
    </row>
    <row r="4" spans="1:25" x14ac:dyDescent="0.2">
      <c r="A4" t="s">
        <v>4</v>
      </c>
      <c r="B4" t="s">
        <v>129</v>
      </c>
      <c r="C4" t="s">
        <v>429</v>
      </c>
      <c r="D4" t="s">
        <v>126</v>
      </c>
      <c r="E4" t="s">
        <v>127</v>
      </c>
      <c r="F4" s="1">
        <v>0.15</v>
      </c>
      <c r="G4" s="1">
        <f>IF(Table1[[#This Row],[PPB]]="Sim",0.12,0.04)</f>
        <v>0.04</v>
      </c>
      <c r="K4" s="2" t="str" cm="1">
        <f t="array" ref="K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" s="3">
        <v>259.94687906357808</v>
      </c>
      <c r="M4" s="3">
        <f t="shared" si="0"/>
        <v>319.73466124820101</v>
      </c>
      <c r="N4" s="3">
        <f t="shared" si="1"/>
        <v>311.93625487629367</v>
      </c>
      <c r="O4" s="3">
        <f t="shared" si="2"/>
        <v>304.13784850438634</v>
      </c>
      <c r="P4" s="3">
        <f t="shared" si="3"/>
        <v>282.04236378398218</v>
      </c>
      <c r="Q4" s="3">
        <f t="shared" si="4"/>
        <v>263.19384154128812</v>
      </c>
      <c r="R4">
        <f>IFERROR(_xlfn.XLOOKUP(A4,'2025 NOV'!A:A,'2025 NOV'!L:L),"NÃO TEM NA LISTA 2025")</f>
        <v>250.787846983083</v>
      </c>
      <c r="S4" t="s">
        <v>378</v>
      </c>
      <c r="T4" t="s">
        <v>213</v>
      </c>
      <c r="U4">
        <v>15.6</v>
      </c>
      <c r="V4" t="s">
        <v>213</v>
      </c>
      <c r="W4" t="s">
        <v>213</v>
      </c>
      <c r="X4" t="s">
        <v>213</v>
      </c>
      <c r="Y4" t="s">
        <v>213</v>
      </c>
    </row>
    <row r="5" spans="1:25" x14ac:dyDescent="0.2">
      <c r="A5" t="s">
        <v>5</v>
      </c>
      <c r="B5" t="s">
        <v>130</v>
      </c>
      <c r="C5" t="s">
        <v>427</v>
      </c>
      <c r="D5" t="s">
        <v>126</v>
      </c>
      <c r="E5" t="s">
        <v>131</v>
      </c>
      <c r="F5" s="1">
        <v>0.15</v>
      </c>
      <c r="G5" s="1">
        <f>IF(Table1[[#This Row],[PPB]]="Sim",0.12,0.04)</f>
        <v>0.04</v>
      </c>
      <c r="K5" s="2" t="str" cm="1">
        <f t="array" ref="K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" s="3">
        <v>595.33778801932033</v>
      </c>
      <c r="M5" s="3">
        <f t="shared" si="0"/>
        <v>732.26547926376395</v>
      </c>
      <c r="N5" s="3">
        <f t="shared" si="1"/>
        <v>714.40534562318442</v>
      </c>
      <c r="O5" s="3">
        <f t="shared" si="2"/>
        <v>696.54521198260477</v>
      </c>
      <c r="P5" s="3">
        <f t="shared" si="3"/>
        <v>645.94150000096261</v>
      </c>
      <c r="Q5" s="3">
        <f t="shared" si="4"/>
        <v>602.77407448763699</v>
      </c>
      <c r="R5">
        <f>IFERROR(_xlfn.XLOOKUP(A5,'2025 NOV'!A:A,'2025 NOV'!L:L),"NÃO TEM NA LISTA 2025")</f>
        <v>602.77407448763688</v>
      </c>
      <c r="S5" t="s">
        <v>371</v>
      </c>
      <c r="T5" t="s">
        <v>385</v>
      </c>
      <c r="U5">
        <v>10.1</v>
      </c>
      <c r="V5" t="s">
        <v>213</v>
      </c>
      <c r="W5" t="s">
        <v>213</v>
      </c>
      <c r="X5">
        <v>4</v>
      </c>
      <c r="Y5">
        <v>64</v>
      </c>
    </row>
    <row r="6" spans="1:25" x14ac:dyDescent="0.2">
      <c r="A6" t="s">
        <v>35</v>
      </c>
      <c r="B6" t="s">
        <v>132</v>
      </c>
      <c r="C6" t="s">
        <v>427</v>
      </c>
      <c r="D6" t="s">
        <v>126</v>
      </c>
      <c r="E6" t="s">
        <v>131</v>
      </c>
      <c r="F6" s="1">
        <v>0.15</v>
      </c>
      <c r="G6" s="1">
        <f>IF(Table1[[#This Row],[PPB]]="Sim",0.12,0.04)</f>
        <v>0.04</v>
      </c>
      <c r="K6" s="2" t="str" cm="1">
        <f t="array" ref="K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6" s="3">
        <v>1002.4308943089432</v>
      </c>
      <c r="M6" s="3">
        <f t="shared" si="0"/>
        <v>1232.99</v>
      </c>
      <c r="N6" s="3">
        <f t="shared" si="1"/>
        <v>1202.9170731707318</v>
      </c>
      <c r="O6" s="3">
        <f t="shared" si="2"/>
        <v>1172.8441463414633</v>
      </c>
      <c r="P6" s="3">
        <f t="shared" si="3"/>
        <v>1087.6375203252032</v>
      </c>
      <c r="Q6" s="3">
        <f t="shared" si="4"/>
        <v>1014.9521275395309</v>
      </c>
      <c r="R6" t="str">
        <f>IFERROR(_xlfn.XLOOKUP(A6,'2025 NOV'!A:A,'2025 NOV'!L:L),"NÃO TEM NA LISTA 2025")</f>
        <v>NÃO TEM NA LISTA 2025</v>
      </c>
      <c r="S6" t="s">
        <v>371</v>
      </c>
      <c r="T6" t="s">
        <v>380</v>
      </c>
      <c r="U6">
        <v>15.6</v>
      </c>
      <c r="V6">
        <v>15.6</v>
      </c>
      <c r="W6" t="s">
        <v>392</v>
      </c>
      <c r="X6">
        <v>8</v>
      </c>
      <c r="Y6">
        <v>128</v>
      </c>
    </row>
    <row r="7" spans="1:25" x14ac:dyDescent="0.2">
      <c r="A7" t="s">
        <v>36</v>
      </c>
      <c r="B7" t="s">
        <v>133</v>
      </c>
      <c r="C7" t="s">
        <v>427</v>
      </c>
      <c r="D7" t="s">
        <v>126</v>
      </c>
      <c r="E7" t="s">
        <v>131</v>
      </c>
      <c r="F7" s="1">
        <v>0.15</v>
      </c>
      <c r="G7" s="1">
        <f>IF(Table1[[#This Row],[PPB]]="Sim",0.12,0.04)</f>
        <v>0.04</v>
      </c>
      <c r="K7" s="2" t="str" cm="1">
        <f t="array" ref="K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7" s="3">
        <v>1014.910569105691</v>
      </c>
      <c r="M7" s="3">
        <f t="shared" si="0"/>
        <v>1248.3399999999999</v>
      </c>
      <c r="N7" s="3">
        <f t="shared" si="1"/>
        <v>1217.8926829268291</v>
      </c>
      <c r="O7" s="3">
        <f t="shared" si="2"/>
        <v>1187.4453658536584</v>
      </c>
      <c r="P7" s="3">
        <f t="shared" si="3"/>
        <v>1101.1779674796746</v>
      </c>
      <c r="Q7" s="3">
        <f t="shared" si="4"/>
        <v>1027.5876843224178</v>
      </c>
      <c r="R7" t="str">
        <f>IFERROR(_xlfn.XLOOKUP(A7,'2025 NOV'!A:A,'2025 NOV'!L:L),"NÃO TEM NA LISTA 2025")</f>
        <v>NÃO TEM NA LISTA 2025</v>
      </c>
      <c r="S7" t="s">
        <v>371</v>
      </c>
      <c r="T7" t="s">
        <v>380</v>
      </c>
      <c r="U7">
        <v>15.6</v>
      </c>
      <c r="V7">
        <v>15.6</v>
      </c>
      <c r="W7" t="s">
        <v>391</v>
      </c>
      <c r="X7">
        <v>8</v>
      </c>
      <c r="Y7">
        <v>128</v>
      </c>
    </row>
    <row r="8" spans="1:25" x14ac:dyDescent="0.2">
      <c r="A8" t="s">
        <v>37</v>
      </c>
      <c r="B8" t="s">
        <v>134</v>
      </c>
      <c r="C8" t="s">
        <v>427</v>
      </c>
      <c r="D8" t="s">
        <v>126</v>
      </c>
      <c r="E8" t="s">
        <v>131</v>
      </c>
      <c r="F8" s="1">
        <v>0.15</v>
      </c>
      <c r="G8" s="1">
        <f>IF(Table1[[#This Row],[PPB]]="Sim",0.12,0.04)</f>
        <v>0.04</v>
      </c>
      <c r="K8" s="2" t="str" cm="1">
        <f t="array" ref="K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8" s="3">
        <v>894.54090760153667</v>
      </c>
      <c r="M8" s="3">
        <f t="shared" si="0"/>
        <v>1100.2853163498901</v>
      </c>
      <c r="N8" s="3">
        <f t="shared" si="1"/>
        <v>1073.4490891218441</v>
      </c>
      <c r="O8" s="3">
        <f t="shared" si="2"/>
        <v>1046.6128618937978</v>
      </c>
      <c r="P8" s="3">
        <f t="shared" si="3"/>
        <v>970.57688474766724</v>
      </c>
      <c r="Q8" s="3">
        <f t="shared" si="4"/>
        <v>905.71450111503475</v>
      </c>
      <c r="R8" t="str">
        <f>IFERROR(_xlfn.XLOOKUP(A8,'2025 NOV'!A:A,'2025 NOV'!L:L),"NÃO TEM NA LISTA 2025")</f>
        <v>NÃO TEM NA LISTA 2025</v>
      </c>
      <c r="S8" t="s">
        <v>371</v>
      </c>
      <c r="T8" t="s">
        <v>380</v>
      </c>
      <c r="U8">
        <v>15.6</v>
      </c>
      <c r="V8">
        <v>15.6</v>
      </c>
      <c r="W8" t="s">
        <v>392</v>
      </c>
      <c r="X8">
        <v>8</v>
      </c>
      <c r="Y8">
        <v>128</v>
      </c>
    </row>
    <row r="9" spans="1:25" x14ac:dyDescent="0.2">
      <c r="A9" t="s">
        <v>6</v>
      </c>
      <c r="B9" t="s">
        <v>7</v>
      </c>
      <c r="C9" t="s">
        <v>427</v>
      </c>
      <c r="D9" t="s">
        <v>126</v>
      </c>
      <c r="E9" t="s">
        <v>131</v>
      </c>
      <c r="F9" s="1">
        <v>0.15</v>
      </c>
      <c r="G9" s="1">
        <f>IF(Table1[[#This Row],[PPB]]="Sim",0.12,0.04)</f>
        <v>0.04</v>
      </c>
      <c r="K9" s="2" t="str" cm="1">
        <f t="array" ref="K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" s="3">
        <v>750.7931233618333</v>
      </c>
      <c r="M9" s="3">
        <f t="shared" si="0"/>
        <v>923.47554173505489</v>
      </c>
      <c r="N9" s="3">
        <f t="shared" si="1"/>
        <v>900.95174803419991</v>
      </c>
      <c r="O9" s="3">
        <f t="shared" si="2"/>
        <v>878.42795433334493</v>
      </c>
      <c r="P9" s="3">
        <f t="shared" si="3"/>
        <v>814.61053884758917</v>
      </c>
      <c r="Q9" s="3">
        <f t="shared" si="4"/>
        <v>760.17118209775822</v>
      </c>
      <c r="R9">
        <f>IFERROR(_xlfn.XLOOKUP(A9,'2025 NOV'!A:A,'2025 NOV'!L:L),"NÃO TEM NA LISTA 2025")</f>
        <v>529.60954899256524</v>
      </c>
      <c r="S9" t="s">
        <v>371</v>
      </c>
      <c r="T9" t="s">
        <v>380</v>
      </c>
      <c r="U9">
        <v>15.6</v>
      </c>
      <c r="V9" t="s">
        <v>213</v>
      </c>
      <c r="W9" t="s">
        <v>213</v>
      </c>
      <c r="X9">
        <v>8</v>
      </c>
      <c r="Y9">
        <v>128</v>
      </c>
    </row>
    <row r="10" spans="1:25" x14ac:dyDescent="0.2">
      <c r="A10" t="s">
        <v>6</v>
      </c>
      <c r="B10" t="s">
        <v>135</v>
      </c>
      <c r="C10" t="s">
        <v>427</v>
      </c>
      <c r="D10" t="s">
        <v>126</v>
      </c>
      <c r="E10" t="s">
        <v>131</v>
      </c>
      <c r="F10" s="1">
        <v>0.15</v>
      </c>
      <c r="G10" s="1">
        <f>IF(Table1[[#This Row],[PPB]]="Sim",0.12,0.04)</f>
        <v>0.04</v>
      </c>
      <c r="K10" s="2" t="str" cm="1">
        <f t="array" ref="K1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" s="3">
        <v>611.64227642276433</v>
      </c>
      <c r="M10" s="3">
        <f t="shared" si="0"/>
        <v>752.32000000000016</v>
      </c>
      <c r="N10" s="3">
        <f t="shared" si="1"/>
        <v>733.97073170731721</v>
      </c>
      <c r="O10" s="3">
        <f t="shared" si="2"/>
        <v>715.62146341463426</v>
      </c>
      <c r="P10" s="3">
        <f t="shared" si="3"/>
        <v>663.63186991869929</v>
      </c>
      <c r="Q10" s="3">
        <f t="shared" si="4"/>
        <v>619.28222012387778</v>
      </c>
      <c r="R10">
        <f>IFERROR(_xlfn.XLOOKUP(A10,'2025 NOV'!A:A,'2025 NOV'!L:L),"NÃO TEM NA LISTA 2025")</f>
        <v>529.60954899256524</v>
      </c>
      <c r="S10" t="s">
        <v>371</v>
      </c>
      <c r="T10" t="s">
        <v>380</v>
      </c>
      <c r="U10">
        <v>15.6</v>
      </c>
      <c r="V10" t="s">
        <v>213</v>
      </c>
      <c r="W10" t="s">
        <v>213</v>
      </c>
      <c r="X10">
        <v>8</v>
      </c>
      <c r="Y10">
        <v>128</v>
      </c>
    </row>
    <row r="11" spans="1:25" x14ac:dyDescent="0.2">
      <c r="A11" t="s">
        <v>8</v>
      </c>
      <c r="B11" t="s">
        <v>9</v>
      </c>
      <c r="C11" t="s">
        <v>427</v>
      </c>
      <c r="D11" t="s">
        <v>126</v>
      </c>
      <c r="E11" t="s">
        <v>131</v>
      </c>
      <c r="F11" s="1">
        <v>0.15</v>
      </c>
      <c r="G11" s="1">
        <f>IF(Table1[[#This Row],[PPB]]="Sim",0.12,0.04)</f>
        <v>0.04</v>
      </c>
      <c r="K11" s="2" t="str" cm="1">
        <f t="array" ref="K1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1" s="3">
        <v>858.71544715447158</v>
      </c>
      <c r="M11" s="3">
        <f t="shared" si="0"/>
        <v>1056.22</v>
      </c>
      <c r="N11" s="3">
        <f t="shared" si="1"/>
        <v>1030.4585365853659</v>
      </c>
      <c r="O11" s="3">
        <f t="shared" si="2"/>
        <v>1004.6970731707316</v>
      </c>
      <c r="P11" s="3">
        <f t="shared" si="3"/>
        <v>931.70626016260167</v>
      </c>
      <c r="Q11" s="3">
        <f t="shared" si="4"/>
        <v>869.44154952578958</v>
      </c>
      <c r="R11">
        <f>IFERROR(_xlfn.XLOOKUP(A11,'2025 NOV'!A:A,'2025 NOV'!L:L),"NÃO TEM NA LISTA 2025")</f>
        <v>663.13841166145983</v>
      </c>
      <c r="S11" t="s">
        <v>371</v>
      </c>
      <c r="T11" t="s">
        <v>380</v>
      </c>
      <c r="U11">
        <v>15.6</v>
      </c>
      <c r="V11" t="s">
        <v>213</v>
      </c>
      <c r="W11" t="s">
        <v>213</v>
      </c>
      <c r="X11">
        <v>8</v>
      </c>
      <c r="Y11">
        <v>128</v>
      </c>
    </row>
    <row r="12" spans="1:25" x14ac:dyDescent="0.2">
      <c r="A12" t="s">
        <v>10</v>
      </c>
      <c r="B12" t="s">
        <v>136</v>
      </c>
      <c r="C12" t="s">
        <v>427</v>
      </c>
      <c r="D12" t="s">
        <v>126</v>
      </c>
      <c r="E12" t="s">
        <v>131</v>
      </c>
      <c r="F12" s="1">
        <v>0.15</v>
      </c>
      <c r="G12" s="1">
        <f>IF(Table1[[#This Row],[PPB]]="Sim",0.12,0.04)</f>
        <v>0.04</v>
      </c>
      <c r="K12" s="2" t="str" cm="1">
        <f t="array" ref="K1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2" s="3">
        <v>847.30455756922765</v>
      </c>
      <c r="M12" s="3">
        <f t="shared" si="0"/>
        <v>1042.1846058101501</v>
      </c>
      <c r="N12" s="3">
        <f t="shared" si="1"/>
        <v>1016.7654690830732</v>
      </c>
      <c r="O12" s="3">
        <f t="shared" si="2"/>
        <v>991.34633235599631</v>
      </c>
      <c r="P12" s="3">
        <f t="shared" si="3"/>
        <v>919.32544496261198</v>
      </c>
      <c r="Q12" s="3">
        <f t="shared" si="4"/>
        <v>857.88812801073743</v>
      </c>
      <c r="R12">
        <f>IFERROR(_xlfn.XLOOKUP(A12,'2025 NOV'!A:A,'2025 NOV'!L:L),"NÃO TEM NA LISTA 2025")</f>
        <v>678.29917118745243</v>
      </c>
      <c r="S12" t="s">
        <v>371</v>
      </c>
      <c r="T12" t="s">
        <v>380</v>
      </c>
      <c r="U12">
        <v>15.6</v>
      </c>
      <c r="V12">
        <v>11.6</v>
      </c>
      <c r="W12" t="s">
        <v>392</v>
      </c>
      <c r="X12">
        <v>8</v>
      </c>
      <c r="Y12">
        <v>128</v>
      </c>
    </row>
    <row r="13" spans="1:25" x14ac:dyDescent="0.2">
      <c r="A13" t="s">
        <v>11</v>
      </c>
      <c r="B13" t="s">
        <v>12</v>
      </c>
      <c r="C13" t="s">
        <v>427</v>
      </c>
      <c r="D13" t="s">
        <v>126</v>
      </c>
      <c r="E13" t="s">
        <v>131</v>
      </c>
      <c r="F13" s="1">
        <v>0.15</v>
      </c>
      <c r="G13" s="1">
        <f>IF(Table1[[#This Row],[PPB]]="Sim",0.12,0.04)</f>
        <v>0.04</v>
      </c>
      <c r="K13" s="2" t="str" cm="1">
        <f t="array" ref="K1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3" s="3">
        <v>954.68292682926835</v>
      </c>
      <c r="M13" s="3">
        <f t="shared" si="0"/>
        <v>1174.26</v>
      </c>
      <c r="N13" s="3">
        <f t="shared" si="1"/>
        <v>1145.6195121951221</v>
      </c>
      <c r="O13" s="3">
        <f t="shared" si="2"/>
        <v>1116.9790243902439</v>
      </c>
      <c r="P13" s="3">
        <f t="shared" si="3"/>
        <v>1035.830975609756</v>
      </c>
      <c r="Q13" s="3">
        <f t="shared" si="4"/>
        <v>966.60774644122796</v>
      </c>
      <c r="R13">
        <f>IFERROR(_xlfn.XLOOKUP(A13,'2025 NOV'!A:A,'2025 NOV'!L:L),"NÃO TEM NA LISTA 2025")</f>
        <v>794.53243719611453</v>
      </c>
      <c r="S13" t="s">
        <v>371</v>
      </c>
      <c r="T13" t="s">
        <v>380</v>
      </c>
      <c r="U13">
        <v>15.6</v>
      </c>
      <c r="V13">
        <v>11.6</v>
      </c>
      <c r="W13" t="s">
        <v>392</v>
      </c>
      <c r="X13">
        <v>8</v>
      </c>
      <c r="Y13">
        <v>128</v>
      </c>
    </row>
    <row r="14" spans="1:25" x14ac:dyDescent="0.2">
      <c r="A14" t="s">
        <v>13</v>
      </c>
      <c r="B14" t="s">
        <v>137</v>
      </c>
      <c r="C14" t="s">
        <v>427</v>
      </c>
      <c r="D14" t="s">
        <v>126</v>
      </c>
      <c r="E14" t="s">
        <v>131</v>
      </c>
      <c r="F14" s="1">
        <v>0.15</v>
      </c>
      <c r="G14" s="1">
        <f>IF(Table1[[#This Row],[PPB]]="Sim",0.12,0.04)</f>
        <v>0.04</v>
      </c>
      <c r="K14" s="2" t="str" cm="1">
        <f t="array" ref="K1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4" s="3">
        <v>887.95623596939026</v>
      </c>
      <c r="M14" s="3">
        <f t="shared" si="0"/>
        <v>1092.18617024235</v>
      </c>
      <c r="N14" s="3">
        <f t="shared" si="1"/>
        <v>1065.5474831632682</v>
      </c>
      <c r="O14" s="3">
        <f t="shared" si="2"/>
        <v>1038.9087960841866</v>
      </c>
      <c r="P14" s="3">
        <f t="shared" si="3"/>
        <v>963.43251602678845</v>
      </c>
      <c r="Q14" s="3">
        <f t="shared" si="4"/>
        <v>899.04758121049269</v>
      </c>
      <c r="R14">
        <f>IFERROR(_xlfn.XLOOKUP(A14,'2025 NOV'!A:A,'2025 NOV'!L:L),"NÃO TEM NA LISTA 2025")</f>
        <v>716.16105225426134</v>
      </c>
      <c r="S14" t="s">
        <v>371</v>
      </c>
      <c r="T14" t="s">
        <v>380</v>
      </c>
      <c r="U14">
        <v>15.6</v>
      </c>
      <c r="V14">
        <v>11.6</v>
      </c>
      <c r="W14" t="s">
        <v>391</v>
      </c>
      <c r="X14">
        <v>8</v>
      </c>
      <c r="Y14">
        <v>128</v>
      </c>
    </row>
    <row r="15" spans="1:25" x14ac:dyDescent="0.2">
      <c r="A15" t="s">
        <v>38</v>
      </c>
      <c r="B15" t="s">
        <v>138</v>
      </c>
      <c r="C15" t="s">
        <v>427</v>
      </c>
      <c r="D15" t="s">
        <v>126</v>
      </c>
      <c r="E15" t="s">
        <v>131</v>
      </c>
      <c r="F15" s="1">
        <v>0.15</v>
      </c>
      <c r="G15" s="1">
        <f>IF(Table1[[#This Row],[PPB]]="Sim",0.12,0.04)</f>
        <v>0.04</v>
      </c>
      <c r="K15" s="2" t="str" cm="1">
        <f t="array" ref="K1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5" s="3">
        <v>906.47846499364221</v>
      </c>
      <c r="M15" s="3">
        <f t="shared" si="0"/>
        <v>1114.9685119421799</v>
      </c>
      <c r="N15" s="3">
        <f t="shared" si="1"/>
        <v>1087.7741579923706</v>
      </c>
      <c r="O15" s="3">
        <f t="shared" si="2"/>
        <v>1060.5798040425614</v>
      </c>
      <c r="P15" s="3">
        <f t="shared" si="3"/>
        <v>983.52913451810173</v>
      </c>
      <c r="Q15" s="3">
        <f t="shared" si="4"/>
        <v>917.80116897566108</v>
      </c>
      <c r="R15" t="str">
        <f>IFERROR(_xlfn.XLOOKUP(A15,'2025 NOV'!A:A,'2025 NOV'!L:L),"NÃO TEM NA LISTA 2025")</f>
        <v>NÃO TEM NA LISTA 2025</v>
      </c>
      <c r="S15" t="s">
        <v>371</v>
      </c>
      <c r="T15" t="s">
        <v>380</v>
      </c>
      <c r="U15">
        <v>15.6</v>
      </c>
      <c r="V15">
        <v>15.6</v>
      </c>
      <c r="W15" t="s">
        <v>391</v>
      </c>
      <c r="X15">
        <v>8</v>
      </c>
      <c r="Y15">
        <v>128</v>
      </c>
    </row>
    <row r="16" spans="1:25" x14ac:dyDescent="0.2">
      <c r="A16" t="s">
        <v>14</v>
      </c>
      <c r="B16" t="s">
        <v>15</v>
      </c>
      <c r="C16" t="s">
        <v>427</v>
      </c>
      <c r="D16" t="s">
        <v>126</v>
      </c>
      <c r="E16" t="s">
        <v>131</v>
      </c>
      <c r="F16" s="1">
        <v>0.15</v>
      </c>
      <c r="G16" s="1">
        <f>IF(Table1[[#This Row],[PPB]]="Sim",0.12,0.04)</f>
        <v>0.04</v>
      </c>
      <c r="K16" s="2" t="str" cm="1">
        <f t="array" ref="K1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6" s="3">
        <v>995.81300813008124</v>
      </c>
      <c r="M16" s="3">
        <f t="shared" si="0"/>
        <v>1224.8499999999999</v>
      </c>
      <c r="N16" s="3">
        <f t="shared" si="1"/>
        <v>1194.9756097560974</v>
      </c>
      <c r="O16" s="3">
        <f t="shared" si="2"/>
        <v>1165.101219512195</v>
      </c>
      <c r="P16" s="3">
        <f t="shared" si="3"/>
        <v>1080.4571138211381</v>
      </c>
      <c r="Q16" s="3">
        <f t="shared" si="4"/>
        <v>1008.2515782097132</v>
      </c>
      <c r="R16">
        <f>IFERROR(_xlfn.XLOOKUP(A16,'2025 NOV'!A:A,'2025 NOV'!L:L),"NÃO TEM NA LISTA 2025")</f>
        <v>833.11350840573652</v>
      </c>
      <c r="S16" t="s">
        <v>371</v>
      </c>
      <c r="T16" t="s">
        <v>380</v>
      </c>
      <c r="U16">
        <v>15.6</v>
      </c>
      <c r="V16">
        <v>11.6</v>
      </c>
      <c r="W16" t="s">
        <v>391</v>
      </c>
      <c r="X16">
        <v>8</v>
      </c>
      <c r="Y16">
        <v>128</v>
      </c>
    </row>
    <row r="17" spans="1:25" x14ac:dyDescent="0.2">
      <c r="A17" t="s">
        <v>17</v>
      </c>
      <c r="B17" t="s">
        <v>139</v>
      </c>
      <c r="C17" t="s">
        <v>427</v>
      </c>
      <c r="D17" t="s">
        <v>126</v>
      </c>
      <c r="E17" t="s">
        <v>131</v>
      </c>
      <c r="F17" s="1">
        <v>0.15</v>
      </c>
      <c r="G17" s="1">
        <f>IF(Table1[[#This Row],[PPB]]="Sim",0.12,0.04)</f>
        <v>0.04</v>
      </c>
      <c r="K17" s="2" t="str" cm="1">
        <f t="array" ref="K1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7" s="3">
        <v>827.44600286392688</v>
      </c>
      <c r="M17" s="3">
        <f t="shared" si="0"/>
        <v>1017.75858352263</v>
      </c>
      <c r="N17" s="3">
        <f t="shared" si="1"/>
        <v>992.93520343671219</v>
      </c>
      <c r="O17" s="3">
        <f t="shared" si="2"/>
        <v>968.11182335079434</v>
      </c>
      <c r="P17" s="3">
        <f t="shared" si="3"/>
        <v>897.77891310736061</v>
      </c>
      <c r="Q17" s="3">
        <f t="shared" si="4"/>
        <v>837.78152269516602</v>
      </c>
      <c r="R17">
        <f>IFERROR(_xlfn.XLOOKUP(A17,'2025 NOV'!A:A,'2025 NOV'!L:L),"NÃO TEM NA LISTA 2025")</f>
        <v>655.98581978597952</v>
      </c>
      <c r="S17" t="s">
        <v>371</v>
      </c>
      <c r="T17" t="s">
        <v>380</v>
      </c>
      <c r="U17">
        <v>15.6</v>
      </c>
      <c r="V17" t="s">
        <v>213</v>
      </c>
      <c r="W17" t="s">
        <v>213</v>
      </c>
      <c r="X17">
        <v>8</v>
      </c>
      <c r="Y17">
        <v>128</v>
      </c>
    </row>
    <row r="18" spans="1:25" x14ac:dyDescent="0.2">
      <c r="A18" t="s">
        <v>18</v>
      </c>
      <c r="B18" t="s">
        <v>140</v>
      </c>
      <c r="C18" t="s">
        <v>427</v>
      </c>
      <c r="D18" t="s">
        <v>126</v>
      </c>
      <c r="E18" t="s">
        <v>131</v>
      </c>
      <c r="F18" s="1">
        <v>0.15</v>
      </c>
      <c r="G18" s="1">
        <f>IF(Table1[[#This Row],[PPB]]="Sim",0.12,0.04)</f>
        <v>0.04</v>
      </c>
      <c r="K18" s="2" t="str" cm="1">
        <f t="array" ref="K1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8" s="3">
        <v>827.44600286392688</v>
      </c>
      <c r="M18" s="3">
        <f t="shared" si="0"/>
        <v>1017.75858352263</v>
      </c>
      <c r="N18" s="3">
        <f t="shared" si="1"/>
        <v>992.93520343671219</v>
      </c>
      <c r="O18" s="3">
        <f t="shared" si="2"/>
        <v>968.11182335079434</v>
      </c>
      <c r="P18" s="3">
        <f t="shared" si="3"/>
        <v>897.77891310736061</v>
      </c>
      <c r="Q18" s="3">
        <f t="shared" si="4"/>
        <v>837.78152269516602</v>
      </c>
      <c r="R18">
        <f>IFERROR(_xlfn.XLOOKUP(A18,'2025 NOV'!A:A,'2025 NOV'!L:L),"NÃO TEM NA LISTA 2025")</f>
        <v>656.05658361063365</v>
      </c>
      <c r="S18" t="s">
        <v>371</v>
      </c>
      <c r="T18" t="s">
        <v>380</v>
      </c>
      <c r="U18">
        <v>15.6</v>
      </c>
      <c r="V18" t="s">
        <v>213</v>
      </c>
      <c r="W18" t="s">
        <v>213</v>
      </c>
      <c r="X18">
        <v>4</v>
      </c>
      <c r="Y18">
        <v>128</v>
      </c>
    </row>
    <row r="19" spans="1:25" x14ac:dyDescent="0.2">
      <c r="A19" t="s">
        <v>19</v>
      </c>
      <c r="B19" t="s">
        <v>20</v>
      </c>
      <c r="C19" t="s">
        <v>427</v>
      </c>
      <c r="D19" t="s">
        <v>126</v>
      </c>
      <c r="E19" t="s">
        <v>131</v>
      </c>
      <c r="F19" s="1">
        <v>0.15</v>
      </c>
      <c r="G19" s="1">
        <f>IF(Table1[[#This Row],[PPB]]="Sim",0.12,0.04)</f>
        <v>0.04</v>
      </c>
      <c r="K19" s="2" t="str" cm="1">
        <f t="array" ref="K1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9" s="3">
        <v>934.65261994540651</v>
      </c>
      <c r="M19" s="3">
        <f t="shared" si="0"/>
        <v>1149.62272253285</v>
      </c>
      <c r="N19" s="3">
        <f t="shared" si="1"/>
        <v>1121.5831439344877</v>
      </c>
      <c r="O19" s="3">
        <f t="shared" si="2"/>
        <v>1093.5435653361255</v>
      </c>
      <c r="P19" s="3">
        <f t="shared" si="3"/>
        <v>1014.098092640766</v>
      </c>
      <c r="Q19" s="3">
        <f t="shared" si="4"/>
        <v>946.3272436130901</v>
      </c>
      <c r="R19">
        <f>IFERROR(_xlfn.XLOOKUP(A19,'2025 NOV'!A:A,'2025 NOV'!L:L),"NÃO TEM NA LISTA 2025")</f>
        <v>854.03084225515363</v>
      </c>
      <c r="S19" t="s">
        <v>371</v>
      </c>
      <c r="T19" t="s">
        <v>380</v>
      </c>
      <c r="U19">
        <v>15.6</v>
      </c>
      <c r="V19" t="s">
        <v>213</v>
      </c>
      <c r="W19" t="s">
        <v>213</v>
      </c>
      <c r="X19">
        <v>4</v>
      </c>
      <c r="Y19">
        <v>128</v>
      </c>
    </row>
    <row r="20" spans="1:25" x14ac:dyDescent="0.2">
      <c r="A20" t="s">
        <v>39</v>
      </c>
      <c r="B20" t="s">
        <v>141</v>
      </c>
      <c r="C20" t="s">
        <v>427</v>
      </c>
      <c r="D20" t="s">
        <v>126</v>
      </c>
      <c r="E20" t="s">
        <v>131</v>
      </c>
      <c r="F20" s="1">
        <v>0.15</v>
      </c>
      <c r="G20" s="1">
        <f>IF(Table1[[#This Row],[PPB]]="Sim",0.12,0.04)</f>
        <v>0.04</v>
      </c>
      <c r="K20" s="2" t="str" cm="1">
        <f t="array" ref="K2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0" s="3">
        <v>953.66638839382119</v>
      </c>
      <c r="M20" s="3">
        <f t="shared" si="0"/>
        <v>1173.0096577244001</v>
      </c>
      <c r="N20" s="3">
        <f t="shared" si="1"/>
        <v>1144.3996660725854</v>
      </c>
      <c r="O20" s="3">
        <f t="shared" si="2"/>
        <v>1115.7896744207708</v>
      </c>
      <c r="P20" s="3">
        <f t="shared" si="3"/>
        <v>1034.7280314072959</v>
      </c>
      <c r="Q20" s="3">
        <f t="shared" si="4"/>
        <v>965.57851055709841</v>
      </c>
      <c r="R20" t="str">
        <f>IFERROR(_xlfn.XLOOKUP(A20,'2025 NOV'!A:A,'2025 NOV'!L:L),"NÃO TEM NA LISTA 2025")</f>
        <v>NÃO TEM NA LISTA 2025</v>
      </c>
      <c r="S20" t="s">
        <v>371</v>
      </c>
      <c r="T20" t="s">
        <v>380</v>
      </c>
      <c r="U20">
        <v>15.6</v>
      </c>
      <c r="V20" t="s">
        <v>213</v>
      </c>
      <c r="W20" t="s">
        <v>213</v>
      </c>
      <c r="X20">
        <v>8</v>
      </c>
      <c r="Y20">
        <v>128</v>
      </c>
    </row>
    <row r="21" spans="1:25" x14ac:dyDescent="0.2">
      <c r="A21" t="s">
        <v>21</v>
      </c>
      <c r="B21" t="s">
        <v>22</v>
      </c>
      <c r="C21" t="s">
        <v>427</v>
      </c>
      <c r="D21" t="s">
        <v>126</v>
      </c>
      <c r="E21" t="s">
        <v>131</v>
      </c>
      <c r="F21" s="1">
        <v>0.15</v>
      </c>
      <c r="G21" s="1">
        <f>IF(Table1[[#This Row],[PPB]]="Sim",0.12,0.04)</f>
        <v>0.04</v>
      </c>
      <c r="K21" s="2" t="str" cm="1">
        <f t="array" ref="K2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1" s="3">
        <v>706.87405094718213</v>
      </c>
      <c r="M21" s="3">
        <f t="shared" si="0"/>
        <v>869.45508266503396</v>
      </c>
      <c r="N21" s="3">
        <f t="shared" si="1"/>
        <v>848.24886113661853</v>
      </c>
      <c r="O21" s="3">
        <f t="shared" si="2"/>
        <v>827.04263960820299</v>
      </c>
      <c r="P21" s="3">
        <f t="shared" si="3"/>
        <v>766.95834527769262</v>
      </c>
      <c r="Q21" s="3">
        <f t="shared" si="4"/>
        <v>715.70352229209891</v>
      </c>
      <c r="R21">
        <f>IFERROR(_xlfn.XLOOKUP(A21,'2025 NOV'!A:A,'2025 NOV'!L:L),"NÃO TEM NA LISTA 2025")</f>
        <v>715.90263482154944</v>
      </c>
      <c r="S21" t="s">
        <v>371</v>
      </c>
      <c r="T21" t="s">
        <v>380</v>
      </c>
      <c r="U21">
        <v>15.6</v>
      </c>
      <c r="V21">
        <v>11.6</v>
      </c>
      <c r="W21" t="s">
        <v>391</v>
      </c>
      <c r="X21">
        <v>4</v>
      </c>
      <c r="Y21">
        <v>128</v>
      </c>
    </row>
    <row r="22" spans="1:25" x14ac:dyDescent="0.2">
      <c r="A22" t="s">
        <v>21</v>
      </c>
      <c r="B22" t="s">
        <v>142</v>
      </c>
      <c r="C22" t="s">
        <v>427</v>
      </c>
      <c r="D22" t="s">
        <v>126</v>
      </c>
      <c r="E22" t="s">
        <v>131</v>
      </c>
      <c r="F22" s="1">
        <v>0.15</v>
      </c>
      <c r="G22" s="1">
        <f>IF(Table1[[#This Row],[PPB]]="Sim",0.12,0.04)</f>
        <v>0.04</v>
      </c>
      <c r="K22" s="2" t="str" cm="1">
        <f t="array" ref="K2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2" s="3">
        <v>955.67063708492674</v>
      </c>
      <c r="M22" s="3">
        <f t="shared" si="0"/>
        <v>1175.4748836144599</v>
      </c>
      <c r="N22" s="3">
        <f t="shared" si="1"/>
        <v>1146.8047645019121</v>
      </c>
      <c r="O22" s="3">
        <f t="shared" si="2"/>
        <v>1118.1346453893643</v>
      </c>
      <c r="P22" s="3">
        <f t="shared" si="3"/>
        <v>1036.9026412371454</v>
      </c>
      <c r="Q22" s="3">
        <f t="shared" si="4"/>
        <v>967.60779405654421</v>
      </c>
      <c r="R22">
        <f>IFERROR(_xlfn.XLOOKUP(A22,'2025 NOV'!A:A,'2025 NOV'!L:L),"NÃO TEM NA LISTA 2025")</f>
        <v>715.90263482154944</v>
      </c>
      <c r="S22" t="s">
        <v>371</v>
      </c>
      <c r="T22" t="s">
        <v>380</v>
      </c>
      <c r="U22">
        <v>15.6</v>
      </c>
      <c r="V22">
        <v>11.6</v>
      </c>
      <c r="W22" t="s">
        <v>391</v>
      </c>
      <c r="X22">
        <v>8</v>
      </c>
      <c r="Y22">
        <v>128</v>
      </c>
    </row>
    <row r="23" spans="1:25" x14ac:dyDescent="0.2">
      <c r="A23" t="s">
        <v>23</v>
      </c>
      <c r="B23" t="s">
        <v>24</v>
      </c>
      <c r="C23" t="s">
        <v>427</v>
      </c>
      <c r="D23" t="s">
        <v>126</v>
      </c>
      <c r="E23" t="s">
        <v>131</v>
      </c>
      <c r="F23" s="1">
        <v>0.15</v>
      </c>
      <c r="G23" s="1">
        <f>IF(Table1[[#This Row],[PPB]]="Sim",0.12,0.04)</f>
        <v>0.04</v>
      </c>
      <c r="K23" s="2" t="str" cm="1">
        <f t="array" ref="K2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3" s="3">
        <v>1067.4078251965773</v>
      </c>
      <c r="M23" s="3">
        <f t="shared" si="0"/>
        <v>1312.9116249917899</v>
      </c>
      <c r="N23" s="3">
        <f t="shared" si="1"/>
        <v>1280.8893902358927</v>
      </c>
      <c r="O23" s="3">
        <f t="shared" si="2"/>
        <v>1248.8671554799953</v>
      </c>
      <c r="P23" s="3">
        <f t="shared" si="3"/>
        <v>1158.1374903382862</v>
      </c>
      <c r="Q23" s="3">
        <f t="shared" si="4"/>
        <v>1080.7406767749942</v>
      </c>
      <c r="R23">
        <f>IFERROR(_xlfn.XLOOKUP(A23,'2025 NOV'!A:A,'2025 NOV'!L:L),"NÃO TEM NA LISTA 2025")</f>
        <v>820.62893962038197</v>
      </c>
      <c r="S23" t="s">
        <v>371</v>
      </c>
      <c r="T23" t="s">
        <v>380</v>
      </c>
      <c r="U23">
        <v>15.6</v>
      </c>
      <c r="V23">
        <v>11.6</v>
      </c>
      <c r="W23" t="s">
        <v>391</v>
      </c>
      <c r="X23">
        <v>4</v>
      </c>
      <c r="Y23">
        <v>128</v>
      </c>
    </row>
    <row r="24" spans="1:25" x14ac:dyDescent="0.2">
      <c r="A24" t="s">
        <v>40</v>
      </c>
      <c r="B24" t="s">
        <v>143</v>
      </c>
      <c r="C24" t="s">
        <v>427</v>
      </c>
      <c r="D24" t="s">
        <v>126</v>
      </c>
      <c r="E24" t="s">
        <v>131</v>
      </c>
      <c r="F24" s="1">
        <v>0.15</v>
      </c>
      <c r="G24" s="1">
        <f>IF(Table1[[#This Row],[PPB]]="Sim",0.12,0.04)</f>
        <v>0.04</v>
      </c>
      <c r="K24" s="2" t="str" cm="1">
        <f t="array" ref="K2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4" s="3">
        <v>788.66241866103496</v>
      </c>
      <c r="M24" s="3">
        <f t="shared" si="0"/>
        <v>970.05477495307298</v>
      </c>
      <c r="N24" s="3">
        <f t="shared" si="1"/>
        <v>946.39490239324186</v>
      </c>
      <c r="O24" s="3">
        <f t="shared" si="2"/>
        <v>922.73502983341086</v>
      </c>
      <c r="P24" s="3">
        <f t="shared" si="3"/>
        <v>855.69872424722291</v>
      </c>
      <c r="Q24" s="3">
        <f t="shared" si="4"/>
        <v>798.51349781304168</v>
      </c>
      <c r="R24">
        <f>IFERROR(_xlfn.XLOOKUP(A24,'2025 NOV'!A:A,'2025 NOV'!L:L),"NÃO TEM NA LISTA 2025")</f>
        <v>1013.7649624409049</v>
      </c>
      <c r="S24" t="s">
        <v>371</v>
      </c>
      <c r="T24" t="s">
        <v>381</v>
      </c>
      <c r="U24">
        <v>15.6</v>
      </c>
      <c r="V24">
        <v>11.6</v>
      </c>
      <c r="W24" t="s">
        <v>391</v>
      </c>
      <c r="X24">
        <v>8</v>
      </c>
      <c r="Y24">
        <v>128</v>
      </c>
    </row>
    <row r="25" spans="1:25" x14ac:dyDescent="0.2">
      <c r="A25" t="s">
        <v>41</v>
      </c>
      <c r="B25" t="s">
        <v>144</v>
      </c>
      <c r="C25" t="s">
        <v>427</v>
      </c>
      <c r="D25" t="s">
        <v>126</v>
      </c>
      <c r="E25" t="s">
        <v>131</v>
      </c>
      <c r="F25" s="1">
        <v>0.15</v>
      </c>
      <c r="G25" s="1">
        <f>IF(Table1[[#This Row],[PPB]]="Sim",0.12,0.04)</f>
        <v>0.04</v>
      </c>
      <c r="K25" s="2" t="str" cm="1">
        <f t="array" ref="K2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5" s="3">
        <v>1030.2252702856179</v>
      </c>
      <c r="M25" s="3">
        <f t="shared" si="0"/>
        <v>1267.1770824513098</v>
      </c>
      <c r="N25" s="3">
        <f t="shared" si="1"/>
        <v>1236.2703243427413</v>
      </c>
      <c r="O25" s="3">
        <f t="shared" si="2"/>
        <v>1205.3635662341728</v>
      </c>
      <c r="P25" s="3">
        <f t="shared" si="3"/>
        <v>1117.7944182598953</v>
      </c>
      <c r="Q25" s="3">
        <f t="shared" si="4"/>
        <v>1043.0936794323495</v>
      </c>
      <c r="R25" t="str">
        <f>IFERROR(_xlfn.XLOOKUP(A25,'2025 NOV'!A:A,'2025 NOV'!L:L),"NÃO TEM NA LISTA 2025")</f>
        <v>NÃO TEM NA LISTA 2025</v>
      </c>
      <c r="S25" t="s">
        <v>371</v>
      </c>
      <c r="T25" t="s">
        <v>381</v>
      </c>
      <c r="U25">
        <v>15.6</v>
      </c>
      <c r="V25" t="s">
        <v>213</v>
      </c>
      <c r="W25" t="s">
        <v>213</v>
      </c>
      <c r="X25">
        <v>8</v>
      </c>
      <c r="Y25">
        <v>128</v>
      </c>
    </row>
    <row r="26" spans="1:25" x14ac:dyDescent="0.2">
      <c r="A26" t="s">
        <v>42</v>
      </c>
      <c r="B26" t="s">
        <v>145</v>
      </c>
      <c r="C26" t="s">
        <v>427</v>
      </c>
      <c r="D26" t="s">
        <v>126</v>
      </c>
      <c r="E26" t="s">
        <v>131</v>
      </c>
      <c r="F26" s="1">
        <v>0.15</v>
      </c>
      <c r="G26" s="1">
        <f>IF(Table1[[#This Row],[PPB]]="Sim",0.12,0.04)</f>
        <v>0.04</v>
      </c>
      <c r="K26" s="2" t="str" cm="1">
        <f t="array" ref="K2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6" s="3">
        <v>1044.3071665457155</v>
      </c>
      <c r="M26" s="3">
        <f t="shared" si="0"/>
        <v>1284.49781485123</v>
      </c>
      <c r="N26" s="3">
        <f t="shared" si="1"/>
        <v>1253.1685998548585</v>
      </c>
      <c r="O26" s="3">
        <f t="shared" si="2"/>
        <v>1221.8393848584872</v>
      </c>
      <c r="P26" s="3">
        <f t="shared" si="3"/>
        <v>1133.0732757021015</v>
      </c>
      <c r="Q26" s="3">
        <f t="shared" si="4"/>
        <v>1057.3514708173905</v>
      </c>
      <c r="R26">
        <f>IFERROR(_xlfn.XLOOKUP(A26,'2025 NOV'!A:A,'2025 NOV'!L:L),"NÃO TEM NA LISTA 2025")</f>
        <v>1064.6927133576539</v>
      </c>
      <c r="S26" t="s">
        <v>371</v>
      </c>
      <c r="T26" t="s">
        <v>381</v>
      </c>
      <c r="U26">
        <v>15.6</v>
      </c>
      <c r="V26" t="s">
        <v>213</v>
      </c>
      <c r="W26" t="s">
        <v>213</v>
      </c>
      <c r="X26">
        <v>8</v>
      </c>
      <c r="Y26">
        <v>128</v>
      </c>
    </row>
    <row r="27" spans="1:25" x14ac:dyDescent="0.2">
      <c r="A27" t="s">
        <v>42</v>
      </c>
      <c r="B27" t="s">
        <v>146</v>
      </c>
      <c r="C27" t="s">
        <v>427</v>
      </c>
      <c r="D27" t="s">
        <v>126</v>
      </c>
      <c r="E27" t="s">
        <v>131</v>
      </c>
      <c r="F27" s="1">
        <v>0.15</v>
      </c>
      <c r="G27" s="1">
        <f>IF(Table1[[#This Row],[PPB]]="Sim",0.12,0.04)</f>
        <v>0.04</v>
      </c>
      <c r="K27" s="2" t="str" cm="1">
        <f t="array" ref="K2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7" s="3">
        <v>1156.4456558155121</v>
      </c>
      <c r="M27" s="3">
        <f t="shared" si="0"/>
        <v>1422.4281566530799</v>
      </c>
      <c r="N27" s="3">
        <f t="shared" si="1"/>
        <v>1387.7347869786145</v>
      </c>
      <c r="O27" s="3">
        <f t="shared" si="2"/>
        <v>1353.041417304149</v>
      </c>
      <c r="P27" s="3">
        <f t="shared" si="3"/>
        <v>1254.7435365598305</v>
      </c>
      <c r="Q27" s="3">
        <f t="shared" si="4"/>
        <v>1170.8906672942817</v>
      </c>
      <c r="R27">
        <f>IFERROR(_xlfn.XLOOKUP(A27,'2025 NOV'!A:A,'2025 NOV'!L:L),"NÃO TEM NA LISTA 2025")</f>
        <v>1064.6927133576539</v>
      </c>
      <c r="S27" t="s">
        <v>371</v>
      </c>
      <c r="T27" t="s">
        <v>381</v>
      </c>
      <c r="U27">
        <v>15.6</v>
      </c>
      <c r="V27" t="s">
        <v>213</v>
      </c>
      <c r="W27" t="s">
        <v>213</v>
      </c>
      <c r="X27">
        <v>8</v>
      </c>
      <c r="Y27">
        <v>128</v>
      </c>
    </row>
    <row r="28" spans="1:25" x14ac:dyDescent="0.2">
      <c r="A28" t="s">
        <v>43</v>
      </c>
      <c r="B28" t="s">
        <v>147</v>
      </c>
      <c r="C28" t="s">
        <v>427</v>
      </c>
      <c r="D28" t="s">
        <v>126</v>
      </c>
      <c r="E28" t="s">
        <v>131</v>
      </c>
      <c r="F28" s="1">
        <v>0.15</v>
      </c>
      <c r="G28" s="1">
        <f>IF(Table1[[#This Row],[PPB]]="Sim",0.12,0.04)</f>
        <v>0.04</v>
      </c>
      <c r="K28" s="2" t="str" cm="1">
        <f t="array" ref="K2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8" s="3">
        <v>1207.8512958272277</v>
      </c>
      <c r="M28" s="3">
        <f t="shared" si="0"/>
        <v>1485.6570938674899</v>
      </c>
      <c r="N28" s="3">
        <f t="shared" si="1"/>
        <v>1449.4215549926732</v>
      </c>
      <c r="O28" s="3">
        <f t="shared" si="2"/>
        <v>1413.1860161178563</v>
      </c>
      <c r="P28" s="3">
        <f t="shared" si="3"/>
        <v>1310.5186559725421</v>
      </c>
      <c r="Q28" s="3">
        <f t="shared" si="4"/>
        <v>1222.938408433974</v>
      </c>
      <c r="R28">
        <f>IFERROR(_xlfn.XLOOKUP(A28,'2025 NOV'!A:A,'2025 NOV'!L:L),"NÃO TEM NA LISTA 2025")</f>
        <v>1161.8352524713359</v>
      </c>
      <c r="S28" t="s">
        <v>371</v>
      </c>
      <c r="T28" t="s">
        <v>382</v>
      </c>
      <c r="U28">
        <v>15.6</v>
      </c>
      <c r="V28">
        <v>11.6</v>
      </c>
      <c r="W28" t="s">
        <v>391</v>
      </c>
      <c r="X28">
        <v>8</v>
      </c>
      <c r="Y28">
        <v>256</v>
      </c>
    </row>
    <row r="29" spans="1:25" x14ac:dyDescent="0.2">
      <c r="A29" t="s">
        <v>44</v>
      </c>
      <c r="B29" t="s">
        <v>148</v>
      </c>
      <c r="C29" t="s">
        <v>427</v>
      </c>
      <c r="D29" t="s">
        <v>126</v>
      </c>
      <c r="E29" t="s">
        <v>131</v>
      </c>
      <c r="F29" s="1">
        <v>0.15</v>
      </c>
      <c r="G29" s="1">
        <f>IF(Table1[[#This Row],[PPB]]="Sim",0.12,0.04)</f>
        <v>0.04</v>
      </c>
      <c r="K29" s="2" t="str" cm="1">
        <f t="array" ref="K2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29" s="3">
        <v>1329.7108991849675</v>
      </c>
      <c r="M29" s="3">
        <f t="shared" si="0"/>
        <v>1635.54440599751</v>
      </c>
      <c r="N29" s="3">
        <f t="shared" si="1"/>
        <v>1595.653079021961</v>
      </c>
      <c r="O29" s="3">
        <f t="shared" si="2"/>
        <v>1555.7617520464119</v>
      </c>
      <c r="P29" s="3">
        <f t="shared" si="3"/>
        <v>1442.7363256156896</v>
      </c>
      <c r="Q29" s="3">
        <f t="shared" si="4"/>
        <v>1346.3201441638221</v>
      </c>
      <c r="R29" t="str">
        <f>IFERROR(_xlfn.XLOOKUP(A29,'2025 NOV'!A:A,'2025 NOV'!L:L),"NÃO TEM NA LISTA 2025")</f>
        <v>NÃO TEM NA LISTA 2025</v>
      </c>
      <c r="S29" t="s">
        <v>371</v>
      </c>
      <c r="T29" t="s">
        <v>382</v>
      </c>
      <c r="U29">
        <v>15.6</v>
      </c>
      <c r="V29">
        <v>11.6</v>
      </c>
      <c r="W29" t="s">
        <v>391</v>
      </c>
      <c r="X29">
        <v>8</v>
      </c>
      <c r="Y29">
        <v>256</v>
      </c>
    </row>
    <row r="30" spans="1:25" x14ac:dyDescent="0.2">
      <c r="A30" t="s">
        <v>45</v>
      </c>
      <c r="B30" t="s">
        <v>149</v>
      </c>
      <c r="C30" t="s">
        <v>427</v>
      </c>
      <c r="D30" t="s">
        <v>126</v>
      </c>
      <c r="E30" t="s">
        <v>131</v>
      </c>
      <c r="F30" s="1">
        <v>0.15</v>
      </c>
      <c r="G30" s="1">
        <f>IF(Table1[[#This Row],[PPB]]="Sim",0.12,0.04)</f>
        <v>0.04</v>
      </c>
      <c r="K30" s="2" t="str" cm="1">
        <f t="array" ref="K3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0" s="3">
        <v>1061.1987996533658</v>
      </c>
      <c r="M30" s="3">
        <f t="shared" si="0"/>
        <v>1305.27452357364</v>
      </c>
      <c r="N30" s="3">
        <f t="shared" si="1"/>
        <v>1273.4385595840388</v>
      </c>
      <c r="O30" s="3">
        <f t="shared" si="2"/>
        <v>1241.6025955944378</v>
      </c>
      <c r="P30" s="3">
        <f t="shared" si="3"/>
        <v>1151.4006976239018</v>
      </c>
      <c r="Q30" s="3">
        <f t="shared" si="4"/>
        <v>1074.4540951055671</v>
      </c>
      <c r="R30">
        <f>IFERROR(_xlfn.XLOOKUP(A30,'2025 NOV'!A:A,'2025 NOV'!L:L),"NÃO TEM NA LISTA 2025")</f>
        <v>930.31337746975271</v>
      </c>
      <c r="S30" t="s">
        <v>371</v>
      </c>
      <c r="T30" t="s">
        <v>382</v>
      </c>
      <c r="U30">
        <v>15.6</v>
      </c>
      <c r="V30" t="s">
        <v>213</v>
      </c>
      <c r="W30" t="s">
        <v>213</v>
      </c>
      <c r="X30">
        <v>8</v>
      </c>
      <c r="Y30">
        <v>256</v>
      </c>
    </row>
    <row r="31" spans="1:25" x14ac:dyDescent="0.2">
      <c r="A31" t="s">
        <v>46</v>
      </c>
      <c r="B31" t="s">
        <v>150</v>
      </c>
      <c r="C31" t="s">
        <v>427</v>
      </c>
      <c r="D31" t="s">
        <v>126</v>
      </c>
      <c r="E31" t="s">
        <v>131</v>
      </c>
      <c r="F31" s="1">
        <v>0.15</v>
      </c>
      <c r="G31" s="1">
        <f>IF(Table1[[#This Row],[PPB]]="Sim",0.12,0.04)</f>
        <v>0.04</v>
      </c>
      <c r="K31" s="2" t="str" cm="1">
        <f t="array" ref="K3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1" s="3">
        <v>1157.7135547803985</v>
      </c>
      <c r="M31" s="3">
        <f t="shared" si="0"/>
        <v>1423.98767237989</v>
      </c>
      <c r="N31" s="3">
        <f t="shared" si="1"/>
        <v>1389.2562657364781</v>
      </c>
      <c r="O31" s="3">
        <f t="shared" si="2"/>
        <v>1354.5248590930662</v>
      </c>
      <c r="P31" s="3">
        <f t="shared" si="3"/>
        <v>1256.1192069367323</v>
      </c>
      <c r="Q31" s="3">
        <f t="shared" si="4"/>
        <v>1172.1744034193578</v>
      </c>
      <c r="R31">
        <f>IFERROR(_xlfn.XLOOKUP(A31,'2025 NOV'!A:A,'2025 NOV'!L:L),"NÃO TEM NA LISTA 2025")</f>
        <v>1065.3466425885281</v>
      </c>
      <c r="S31" t="s">
        <v>371</v>
      </c>
      <c r="T31" t="s">
        <v>382</v>
      </c>
      <c r="U31">
        <v>15.6</v>
      </c>
      <c r="V31">
        <v>11.6</v>
      </c>
      <c r="W31" t="s">
        <v>392</v>
      </c>
      <c r="X31">
        <v>8</v>
      </c>
      <c r="Y31">
        <v>256</v>
      </c>
    </row>
    <row r="32" spans="1:25" x14ac:dyDescent="0.2">
      <c r="A32" t="s">
        <v>47</v>
      </c>
      <c r="B32" t="s">
        <v>151</v>
      </c>
      <c r="C32" t="s">
        <v>427</v>
      </c>
      <c r="D32" t="s">
        <v>126</v>
      </c>
      <c r="E32" t="s">
        <v>131</v>
      </c>
      <c r="F32" s="1">
        <v>0.15</v>
      </c>
      <c r="G32" s="1">
        <f>IF(Table1[[#This Row],[PPB]]="Sim",0.12,0.04)</f>
        <v>0.04</v>
      </c>
      <c r="K32" s="2" t="str" cm="1">
        <f t="array" ref="K3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2" s="3">
        <v>1150.4227642276423</v>
      </c>
      <c r="M32" s="3">
        <f t="shared" si="0"/>
        <v>1415.02</v>
      </c>
      <c r="N32" s="3">
        <f t="shared" si="1"/>
        <v>1380.5073170731707</v>
      </c>
      <c r="O32" s="3">
        <f t="shared" si="2"/>
        <v>1345.9946341463415</v>
      </c>
      <c r="P32" s="3">
        <f t="shared" si="3"/>
        <v>1248.2086991869919</v>
      </c>
      <c r="Q32" s="3">
        <f t="shared" si="4"/>
        <v>1164.7925445550954</v>
      </c>
      <c r="R32" t="str">
        <f>IFERROR(_xlfn.XLOOKUP(A32,'2025 NOV'!A:A,'2025 NOV'!L:L),"NÃO TEM NA LISTA 2025")</f>
        <v>NÃO TEM NA LISTA 2025</v>
      </c>
      <c r="S32" t="s">
        <v>371</v>
      </c>
      <c r="T32" t="s">
        <v>382</v>
      </c>
      <c r="U32">
        <v>15.6</v>
      </c>
      <c r="V32" t="s">
        <v>213</v>
      </c>
      <c r="W32" t="s">
        <v>213</v>
      </c>
      <c r="X32">
        <v>16</v>
      </c>
      <c r="Y32">
        <v>256</v>
      </c>
    </row>
    <row r="33" spans="1:25" x14ac:dyDescent="0.2">
      <c r="A33" t="s">
        <v>47</v>
      </c>
      <c r="B33" t="s">
        <v>152</v>
      </c>
      <c r="C33" t="s">
        <v>427</v>
      </c>
      <c r="D33" t="s">
        <v>126</v>
      </c>
      <c r="E33" t="s">
        <v>131</v>
      </c>
      <c r="F33" s="1">
        <v>0.15</v>
      </c>
      <c r="G33" s="1">
        <f>IF(Table1[[#This Row],[PPB]]="Sim",0.12,0.04)</f>
        <v>0.04</v>
      </c>
      <c r="K33" s="2" t="str" cm="1">
        <f t="array" ref="K3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3" s="3">
        <v>1218.780487804878</v>
      </c>
      <c r="M33" s="3">
        <f t="shared" si="0"/>
        <v>1499.1</v>
      </c>
      <c r="N33" s="3">
        <f t="shared" si="1"/>
        <v>1462.5365853658536</v>
      </c>
      <c r="O33" s="3">
        <f t="shared" si="2"/>
        <v>1425.9731707317071</v>
      </c>
      <c r="P33" s="3">
        <f t="shared" si="3"/>
        <v>1322.3768292682926</v>
      </c>
      <c r="Q33" s="3">
        <f t="shared" si="4"/>
        <v>1234.0041155195993</v>
      </c>
      <c r="R33" t="str">
        <f>IFERROR(_xlfn.XLOOKUP(A33,'2025 NOV'!A:A,'2025 NOV'!L:L),"NÃO TEM NA LISTA 2025")</f>
        <v>NÃO TEM NA LISTA 2025</v>
      </c>
      <c r="S33" t="s">
        <v>371</v>
      </c>
      <c r="T33" t="s">
        <v>382</v>
      </c>
      <c r="U33">
        <v>15.6</v>
      </c>
      <c r="V33" t="s">
        <v>213</v>
      </c>
      <c r="W33" t="s">
        <v>213</v>
      </c>
      <c r="X33">
        <v>16</v>
      </c>
      <c r="Y33">
        <v>256</v>
      </c>
    </row>
    <row r="34" spans="1:25" x14ac:dyDescent="0.2">
      <c r="A34" t="s">
        <v>48</v>
      </c>
      <c r="B34" t="s">
        <v>153</v>
      </c>
      <c r="C34" t="s">
        <v>427</v>
      </c>
      <c r="D34" t="s">
        <v>126</v>
      </c>
      <c r="E34" t="s">
        <v>131</v>
      </c>
      <c r="F34" s="1">
        <v>0.15</v>
      </c>
      <c r="G34" s="1">
        <f>IF(Table1[[#This Row],[PPB]]="Sim",0.12,0.04)</f>
        <v>0.04</v>
      </c>
      <c r="K34" s="2" t="str" cm="1">
        <f t="array" ref="K3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4" s="3">
        <v>1198.3012499135448</v>
      </c>
      <c r="M34" s="3">
        <f t="shared" si="0"/>
        <v>1473.91053739366</v>
      </c>
      <c r="N34" s="3">
        <f t="shared" si="1"/>
        <v>1437.9614998962536</v>
      </c>
      <c r="O34" s="3">
        <f t="shared" si="2"/>
        <v>1402.0124623988472</v>
      </c>
      <c r="P34" s="3">
        <f t="shared" si="3"/>
        <v>1300.156856156196</v>
      </c>
      <c r="Q34" s="3">
        <f t="shared" si="4"/>
        <v>1213.2690741454744</v>
      </c>
      <c r="R34">
        <f>IFERROR(_xlfn.XLOOKUP(A34,'2025 NOV'!A:A,'2025 NOV'!L:L),"NÃO TEM NA LISTA 2025")</f>
        <v>1105.7487782376904</v>
      </c>
      <c r="S34" t="s">
        <v>371</v>
      </c>
      <c r="T34" t="s">
        <v>382</v>
      </c>
      <c r="U34">
        <v>15.6</v>
      </c>
      <c r="V34">
        <v>11.6</v>
      </c>
      <c r="W34" t="s">
        <v>391</v>
      </c>
      <c r="X34">
        <v>8</v>
      </c>
      <c r="Y34">
        <v>256</v>
      </c>
    </row>
    <row r="35" spans="1:25" x14ac:dyDescent="0.2">
      <c r="A35" t="s">
        <v>49</v>
      </c>
      <c r="B35" t="s">
        <v>154</v>
      </c>
      <c r="C35" t="s">
        <v>427</v>
      </c>
      <c r="D35" t="s">
        <v>126</v>
      </c>
      <c r="E35" t="s">
        <v>131</v>
      </c>
      <c r="F35" s="1">
        <v>0.15</v>
      </c>
      <c r="G35" s="1">
        <f>IF(Table1[[#This Row],[PPB]]="Sim",0.12,0.04)</f>
        <v>0.04</v>
      </c>
      <c r="K35" s="2" t="str" cm="1">
        <f t="array" ref="K3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5" s="3">
        <v>1188.1029000012113</v>
      </c>
      <c r="M35" s="3">
        <f t="shared" si="0"/>
        <v>1461.3665670014898</v>
      </c>
      <c r="N35" s="3">
        <f t="shared" si="1"/>
        <v>1425.7234800014535</v>
      </c>
      <c r="O35" s="3">
        <f t="shared" si="2"/>
        <v>1390.0803930014172</v>
      </c>
      <c r="P35" s="3">
        <f t="shared" si="3"/>
        <v>1289.0916465013142</v>
      </c>
      <c r="Q35" s="3">
        <f t="shared" si="4"/>
        <v>1202.9433379778445</v>
      </c>
      <c r="R35" t="str">
        <f>IFERROR(_xlfn.XLOOKUP(A35,'2025 NOV'!A:A,'2025 NOV'!L:L),"NÃO TEM NA LISTA 2025")</f>
        <v>NÃO TEM NA LISTA 2025</v>
      </c>
      <c r="S35" t="s">
        <v>371</v>
      </c>
      <c r="T35" t="s">
        <v>382</v>
      </c>
      <c r="U35">
        <v>15.6</v>
      </c>
      <c r="V35" t="s">
        <v>213</v>
      </c>
      <c r="W35" t="s">
        <v>213</v>
      </c>
      <c r="X35">
        <v>8</v>
      </c>
      <c r="Y35">
        <v>256</v>
      </c>
    </row>
    <row r="36" spans="1:25" x14ac:dyDescent="0.2">
      <c r="A36" t="s">
        <v>50</v>
      </c>
      <c r="B36" t="s">
        <v>155</v>
      </c>
      <c r="C36" t="s">
        <v>427</v>
      </c>
      <c r="D36" t="s">
        <v>126</v>
      </c>
      <c r="E36" t="s">
        <v>131</v>
      </c>
      <c r="F36" s="1">
        <v>0.15</v>
      </c>
      <c r="G36" s="1">
        <f>IF(Table1[[#This Row],[PPB]]="Sim",0.12,0.04)</f>
        <v>0.04</v>
      </c>
      <c r="K36" s="2" t="str" cm="1">
        <f t="array" ref="K3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6" s="3">
        <v>1067.4471544715448</v>
      </c>
      <c r="M36" s="3">
        <f t="shared" si="0"/>
        <v>1312.96</v>
      </c>
      <c r="N36" s="3">
        <f t="shared" si="1"/>
        <v>1280.9365853658537</v>
      </c>
      <c r="O36" s="3">
        <f t="shared" si="2"/>
        <v>1248.9131707317074</v>
      </c>
      <c r="P36" s="3">
        <f t="shared" si="3"/>
        <v>1158.1801626016261</v>
      </c>
      <c r="Q36" s="3">
        <f t="shared" si="4"/>
        <v>1080.7804973067928</v>
      </c>
      <c r="R36">
        <f>IFERROR(_xlfn.XLOOKUP(A36,'2025 NOV'!A:A,'2025 NOV'!L:L),"NÃO TEM NA LISTA 2025")</f>
        <v>928.02193402793432</v>
      </c>
      <c r="S36" t="s">
        <v>371</v>
      </c>
      <c r="T36" t="s">
        <v>382</v>
      </c>
      <c r="U36">
        <v>15.6</v>
      </c>
      <c r="V36" t="s">
        <v>213</v>
      </c>
      <c r="W36" t="s">
        <v>213</v>
      </c>
      <c r="X36">
        <v>8</v>
      </c>
      <c r="Y36">
        <v>256</v>
      </c>
    </row>
    <row r="37" spans="1:25" x14ac:dyDescent="0.2">
      <c r="A37" t="s">
        <v>51</v>
      </c>
      <c r="B37" t="s">
        <v>156</v>
      </c>
      <c r="C37" t="s">
        <v>427</v>
      </c>
      <c r="D37" t="s">
        <v>126</v>
      </c>
      <c r="E37" t="s">
        <v>131</v>
      </c>
      <c r="F37" s="1">
        <v>0.15</v>
      </c>
      <c r="G37" s="1">
        <f>IF(Table1[[#This Row],[PPB]]="Sim",0.12,0.04)</f>
        <v>0.04</v>
      </c>
      <c r="K37" s="2" t="str" cm="1">
        <f t="array" ref="K3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7" s="3">
        <v>1220.7977220762521</v>
      </c>
      <c r="M37" s="3">
        <f t="shared" si="0"/>
        <v>1501.58119815379</v>
      </c>
      <c r="N37" s="3">
        <f t="shared" si="1"/>
        <v>1464.9572664915024</v>
      </c>
      <c r="O37" s="3">
        <f t="shared" si="2"/>
        <v>1428.3333348292149</v>
      </c>
      <c r="P37" s="3">
        <f t="shared" si="3"/>
        <v>1324.5655284527334</v>
      </c>
      <c r="Q37" s="3">
        <f t="shared" si="4"/>
        <v>1236.0465468004988</v>
      </c>
      <c r="R37">
        <f>IFERROR(_xlfn.XLOOKUP(A37,'2025 NOV'!A:A,'2025 NOV'!L:L),"NÃO TEM NA LISTA 2025")</f>
        <v>1083.3235638040376</v>
      </c>
      <c r="S37" t="s">
        <v>371</v>
      </c>
      <c r="T37" t="s">
        <v>382</v>
      </c>
      <c r="U37">
        <v>15.6</v>
      </c>
      <c r="V37">
        <v>15.6</v>
      </c>
      <c r="W37" t="s">
        <v>391</v>
      </c>
      <c r="X37">
        <v>8</v>
      </c>
      <c r="Y37">
        <v>256</v>
      </c>
    </row>
    <row r="38" spans="1:25" x14ac:dyDescent="0.2">
      <c r="A38" t="s">
        <v>52</v>
      </c>
      <c r="B38" t="s">
        <v>157</v>
      </c>
      <c r="C38" t="s">
        <v>427</v>
      </c>
      <c r="D38" t="s">
        <v>126</v>
      </c>
      <c r="E38" t="s">
        <v>131</v>
      </c>
      <c r="F38" s="1">
        <v>0.15</v>
      </c>
      <c r="G38" s="1">
        <f>IF(Table1[[#This Row],[PPB]]="Sim",0.12,0.04)</f>
        <v>0.04</v>
      </c>
      <c r="K38" s="2" t="str" cm="1">
        <f t="array" ref="K3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8" s="3">
        <v>1040.3037758802845</v>
      </c>
      <c r="M38" s="3">
        <f t="shared" si="0"/>
        <v>1279.5736443327501</v>
      </c>
      <c r="N38" s="3">
        <f t="shared" si="1"/>
        <v>1248.3645310563413</v>
      </c>
      <c r="O38" s="3">
        <f t="shared" si="2"/>
        <v>1217.1554177799328</v>
      </c>
      <c r="P38" s="3">
        <f t="shared" si="3"/>
        <v>1128.7295968301087</v>
      </c>
      <c r="Q38" s="3">
        <f t="shared" si="4"/>
        <v>1053.2980743226105</v>
      </c>
      <c r="R38" t="str">
        <f>IFERROR(_xlfn.XLOOKUP(A38,'2025 NOV'!A:A,'2025 NOV'!L:L),"NÃO TEM NA LISTA 2025")</f>
        <v>NÃO TEM NA LISTA 2025</v>
      </c>
      <c r="S38" t="s">
        <v>371</v>
      </c>
      <c r="T38" t="s">
        <v>382</v>
      </c>
      <c r="U38">
        <v>15.6</v>
      </c>
      <c r="V38" t="s">
        <v>213</v>
      </c>
      <c r="W38" t="s">
        <v>213</v>
      </c>
      <c r="X38">
        <v>8</v>
      </c>
      <c r="Y38">
        <v>256</v>
      </c>
    </row>
    <row r="39" spans="1:25" x14ac:dyDescent="0.2">
      <c r="A39" t="s">
        <v>53</v>
      </c>
      <c r="B39" t="s">
        <v>158</v>
      </c>
      <c r="C39" t="s">
        <v>427</v>
      </c>
      <c r="D39" t="s">
        <v>126</v>
      </c>
      <c r="E39" t="s">
        <v>131</v>
      </c>
      <c r="F39" s="1">
        <v>0.15</v>
      </c>
      <c r="G39" s="1">
        <f>IF(Table1[[#This Row],[PPB]]="Sim",0.12,0.04)</f>
        <v>0.04</v>
      </c>
      <c r="K39" s="2" t="str" cm="1">
        <f t="array" ref="K3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39" s="3">
        <v>1085.9741762819267</v>
      </c>
      <c r="M39" s="3">
        <f t="shared" si="0"/>
        <v>1335.7482368267699</v>
      </c>
      <c r="N39" s="3">
        <f t="shared" si="1"/>
        <v>1303.1690115383119</v>
      </c>
      <c r="O39" s="3">
        <f t="shared" si="2"/>
        <v>1270.5897862498541</v>
      </c>
      <c r="P39" s="3">
        <f t="shared" si="3"/>
        <v>1178.2819812658904</v>
      </c>
      <c r="Q39" s="3">
        <f t="shared" si="4"/>
        <v>1099.5389377241561</v>
      </c>
      <c r="R39" t="str">
        <f>IFERROR(_xlfn.XLOOKUP(A39,'2025 NOV'!A:A,'2025 NOV'!L:L),"NÃO TEM NA LISTA 2025")</f>
        <v>NÃO TEM NA LISTA 2025</v>
      </c>
      <c r="S39" t="s">
        <v>371</v>
      </c>
      <c r="T39" t="s">
        <v>382</v>
      </c>
      <c r="U39">
        <v>15.6</v>
      </c>
      <c r="V39" t="s">
        <v>213</v>
      </c>
      <c r="W39" t="s">
        <v>213</v>
      </c>
      <c r="X39">
        <v>16</v>
      </c>
      <c r="Y39">
        <v>256</v>
      </c>
    </row>
    <row r="40" spans="1:25" x14ac:dyDescent="0.2">
      <c r="A40" t="s">
        <v>54</v>
      </c>
      <c r="B40" t="s">
        <v>159</v>
      </c>
      <c r="C40" t="s">
        <v>427</v>
      </c>
      <c r="D40" t="s">
        <v>126</v>
      </c>
      <c r="E40" t="s">
        <v>131</v>
      </c>
      <c r="F40" s="1">
        <v>0.15</v>
      </c>
      <c r="G40" s="1">
        <f>IF(Table1[[#This Row],[PPB]]="Sim",0.12,0.04)</f>
        <v>0.04</v>
      </c>
      <c r="K40" s="2" t="str" cm="1">
        <f t="array" ref="K4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0" s="3">
        <v>1251.5869726585447</v>
      </c>
      <c r="M40" s="3">
        <f t="shared" si="0"/>
        <v>1539.45197637001</v>
      </c>
      <c r="N40" s="3">
        <f t="shared" si="1"/>
        <v>1501.9043671902537</v>
      </c>
      <c r="O40" s="3">
        <f t="shared" si="2"/>
        <v>1464.3567580104973</v>
      </c>
      <c r="P40" s="3">
        <f t="shared" si="3"/>
        <v>1357.971865334521</v>
      </c>
      <c r="Q40" s="3">
        <f t="shared" si="4"/>
        <v>1267.2203818860471</v>
      </c>
      <c r="R40" t="str">
        <f>IFERROR(_xlfn.XLOOKUP(A40,'2025 NOV'!A:A,'2025 NOV'!L:L),"NÃO TEM NA LISTA 2025")</f>
        <v>NÃO TEM NA LISTA 2025</v>
      </c>
      <c r="S40" t="s">
        <v>371</v>
      </c>
      <c r="T40" t="s">
        <v>382</v>
      </c>
      <c r="U40">
        <v>15.6</v>
      </c>
      <c r="V40">
        <v>15.6</v>
      </c>
      <c r="W40" t="s">
        <v>391</v>
      </c>
      <c r="X40">
        <v>16</v>
      </c>
      <c r="Y40">
        <v>256</v>
      </c>
    </row>
    <row r="41" spans="1:25" x14ac:dyDescent="0.2">
      <c r="A41" t="s">
        <v>55</v>
      </c>
      <c r="B41" t="s">
        <v>160</v>
      </c>
      <c r="C41" t="s">
        <v>427</v>
      </c>
      <c r="D41" t="s">
        <v>126</v>
      </c>
      <c r="E41" t="s">
        <v>131</v>
      </c>
      <c r="F41" s="1">
        <v>0.15</v>
      </c>
      <c r="G41" s="1">
        <f>IF(Table1[[#This Row],[PPB]]="Sim",0.12,0.04)</f>
        <v>0.04</v>
      </c>
      <c r="K41" s="2" t="str" cm="1">
        <f t="array" ref="K4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1" s="3">
        <v>549.04474302649351</v>
      </c>
      <c r="M41" s="3">
        <f t="shared" si="0"/>
        <v>675.32503392258695</v>
      </c>
      <c r="N41" s="3">
        <f t="shared" si="1"/>
        <v>658.85369163179223</v>
      </c>
      <c r="O41" s="3">
        <f t="shared" si="2"/>
        <v>642.38234934099739</v>
      </c>
      <c r="P41" s="3">
        <f t="shared" si="3"/>
        <v>595.71354618374539</v>
      </c>
      <c r="Q41" s="3">
        <f t="shared" si="4"/>
        <v>555.90278912273061</v>
      </c>
      <c r="R41">
        <f>IFERROR(_xlfn.XLOOKUP(A41,'2025 NOV'!A:A,'2025 NOV'!L:L),"NÃO TEM NA LISTA 2025")</f>
        <v>461.77269518792582</v>
      </c>
      <c r="S41" t="s">
        <v>371</v>
      </c>
      <c r="T41" t="s">
        <v>383</v>
      </c>
      <c r="U41">
        <v>15.6</v>
      </c>
      <c r="V41" t="s">
        <v>213</v>
      </c>
      <c r="W41" t="s">
        <v>213</v>
      </c>
      <c r="X41">
        <v>2</v>
      </c>
      <c r="Y41">
        <v>16</v>
      </c>
    </row>
    <row r="42" spans="1:25" x14ac:dyDescent="0.2">
      <c r="A42" t="s">
        <v>56</v>
      </c>
      <c r="B42" t="s">
        <v>161</v>
      </c>
      <c r="C42" t="s">
        <v>427</v>
      </c>
      <c r="D42" t="s">
        <v>126</v>
      </c>
      <c r="E42" t="s">
        <v>131</v>
      </c>
      <c r="F42" s="1">
        <v>0.15</v>
      </c>
      <c r="G42" s="1">
        <f>IF(Table1[[#This Row],[PPB]]="Sim",0.12,0.04)</f>
        <v>0.04</v>
      </c>
      <c r="K42" s="2" t="str" cm="1">
        <f t="array" ref="K4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2" s="3">
        <v>694.9747626503414</v>
      </c>
      <c r="M42" s="3">
        <f t="shared" si="0"/>
        <v>854.81895805991996</v>
      </c>
      <c r="N42" s="3">
        <f t="shared" si="1"/>
        <v>833.96971518040971</v>
      </c>
      <c r="O42" s="3">
        <f t="shared" si="2"/>
        <v>813.12047230089934</v>
      </c>
      <c r="P42" s="3">
        <f t="shared" si="3"/>
        <v>754.04761747562043</v>
      </c>
      <c r="Q42" s="3">
        <f t="shared" si="4"/>
        <v>703.65560154100251</v>
      </c>
      <c r="R42" t="str">
        <f>IFERROR(_xlfn.XLOOKUP(A42,'2025 NOV'!A:A,'2025 NOV'!L:L),"NÃO TEM NA LISTA 2025")</f>
        <v>NÃO TEM NA LISTA 2025</v>
      </c>
      <c r="S42" t="s">
        <v>371</v>
      </c>
      <c r="T42" t="s">
        <v>383</v>
      </c>
      <c r="U42">
        <v>15.6</v>
      </c>
      <c r="V42">
        <v>11.6</v>
      </c>
      <c r="W42" t="s">
        <v>391</v>
      </c>
      <c r="X42">
        <v>2</v>
      </c>
      <c r="Y42">
        <v>32</v>
      </c>
    </row>
    <row r="43" spans="1:25" x14ac:dyDescent="0.2">
      <c r="A43" t="s">
        <v>57</v>
      </c>
      <c r="B43" t="s">
        <v>162</v>
      </c>
      <c r="C43" t="s">
        <v>427</v>
      </c>
      <c r="D43" t="s">
        <v>126</v>
      </c>
      <c r="E43" t="s">
        <v>131</v>
      </c>
      <c r="F43" s="1">
        <v>0.15</v>
      </c>
      <c r="G43" s="1">
        <f>IF(Table1[[#This Row],[PPB]]="Sim",0.12,0.04)</f>
        <v>0.04</v>
      </c>
      <c r="K43" s="2" t="str" cm="1">
        <f t="array" ref="K4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3" s="3">
        <v>654.28720695874551</v>
      </c>
      <c r="M43" s="3">
        <f t="shared" si="0"/>
        <v>804.77326455925697</v>
      </c>
      <c r="N43" s="3">
        <f t="shared" si="1"/>
        <v>785.14464835049455</v>
      </c>
      <c r="O43" s="3">
        <f t="shared" si="2"/>
        <v>765.51603214173224</v>
      </c>
      <c r="P43" s="3">
        <f t="shared" si="3"/>
        <v>709.90161955023882</v>
      </c>
      <c r="Q43" s="3">
        <f t="shared" si="4"/>
        <v>662.45982291125767</v>
      </c>
      <c r="R43" t="str">
        <f>IFERROR(_xlfn.XLOOKUP(A43,'2025 NOV'!A:A,'2025 NOV'!L:L),"NÃO TEM NA LISTA 2025")</f>
        <v>NÃO TEM NA LISTA 2025</v>
      </c>
      <c r="S43" t="s">
        <v>371</v>
      </c>
      <c r="T43" t="s">
        <v>383</v>
      </c>
      <c r="U43">
        <v>15.6</v>
      </c>
      <c r="V43">
        <v>11.6</v>
      </c>
      <c r="W43" t="s">
        <v>392</v>
      </c>
      <c r="X43">
        <v>2</v>
      </c>
      <c r="Y43">
        <v>16</v>
      </c>
    </row>
    <row r="44" spans="1:25" x14ac:dyDescent="0.2">
      <c r="A44" t="s">
        <v>58</v>
      </c>
      <c r="B44" t="s">
        <v>163</v>
      </c>
      <c r="C44" t="s">
        <v>427</v>
      </c>
      <c r="D44" t="s">
        <v>126</v>
      </c>
      <c r="E44" t="s">
        <v>131</v>
      </c>
      <c r="F44" s="1">
        <v>0.15</v>
      </c>
      <c r="G44" s="1">
        <f>IF(Table1[[#This Row],[PPB]]="Sim",0.12,0.04)</f>
        <v>0.04</v>
      </c>
      <c r="K44" s="2" t="str" cm="1">
        <f t="array" ref="K4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4" s="3">
        <v>638.86178861788619</v>
      </c>
      <c r="M44" s="3">
        <f t="shared" si="0"/>
        <v>785.8</v>
      </c>
      <c r="N44" s="3">
        <f t="shared" si="1"/>
        <v>766.63414634146341</v>
      </c>
      <c r="O44" s="3">
        <f t="shared" si="2"/>
        <v>747.46829268292674</v>
      </c>
      <c r="P44" s="3">
        <f t="shared" si="3"/>
        <v>693.16504065040647</v>
      </c>
      <c r="Q44" s="3">
        <f t="shared" si="4"/>
        <v>646.84172768681287</v>
      </c>
      <c r="R44">
        <f>IFERROR(_xlfn.XLOOKUP(A44,'2025 NOV'!A:A,'2025 NOV'!L:L),"NÃO TEM NA LISTA 2025")</f>
        <v>935.25327377360645</v>
      </c>
      <c r="S44" t="s">
        <v>371</v>
      </c>
      <c r="T44" t="s">
        <v>383</v>
      </c>
      <c r="U44">
        <v>15.6</v>
      </c>
      <c r="V44" t="s">
        <v>213</v>
      </c>
      <c r="W44" t="s">
        <v>213</v>
      </c>
      <c r="X44">
        <v>4</v>
      </c>
      <c r="Y44">
        <v>16</v>
      </c>
    </row>
    <row r="45" spans="1:25" x14ac:dyDescent="0.2">
      <c r="A45" t="s">
        <v>58</v>
      </c>
      <c r="B45" t="s">
        <v>164</v>
      </c>
      <c r="C45" t="s">
        <v>427</v>
      </c>
      <c r="D45" t="s">
        <v>126</v>
      </c>
      <c r="E45" t="s">
        <v>131</v>
      </c>
      <c r="F45" s="1">
        <v>0.15</v>
      </c>
      <c r="G45" s="1">
        <f>IF(Table1[[#This Row],[PPB]]="Sim",0.12,0.04)</f>
        <v>0.04</v>
      </c>
      <c r="K45" s="2" t="str" cm="1">
        <f t="array" ref="K4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5" s="3">
        <v>577.15697558099509</v>
      </c>
      <c r="M45" s="3">
        <f t="shared" si="0"/>
        <v>709.903079964624</v>
      </c>
      <c r="N45" s="3">
        <f t="shared" si="1"/>
        <v>692.58837069719414</v>
      </c>
      <c r="O45" s="3">
        <f t="shared" si="2"/>
        <v>675.27366142976427</v>
      </c>
      <c r="P45" s="3">
        <f t="shared" si="3"/>
        <v>626.21531850537963</v>
      </c>
      <c r="Q45" s="3">
        <f t="shared" si="4"/>
        <v>584.36616789832908</v>
      </c>
      <c r="R45">
        <f>IFERROR(_xlfn.XLOOKUP(A45,'2025 NOV'!A:A,'2025 NOV'!L:L),"NÃO TEM NA LISTA 2025")</f>
        <v>935.25327377360645</v>
      </c>
      <c r="S45" t="s">
        <v>371</v>
      </c>
      <c r="T45" t="s">
        <v>383</v>
      </c>
      <c r="U45">
        <v>15.6</v>
      </c>
      <c r="V45" t="s">
        <v>213</v>
      </c>
      <c r="W45" t="s">
        <v>213</v>
      </c>
      <c r="X45">
        <v>2</v>
      </c>
      <c r="Y45">
        <v>16</v>
      </c>
    </row>
    <row r="46" spans="1:25" x14ac:dyDescent="0.2">
      <c r="A46" t="s">
        <v>59</v>
      </c>
      <c r="B46" t="s">
        <v>165</v>
      </c>
      <c r="C46" t="s">
        <v>427</v>
      </c>
      <c r="D46" t="s">
        <v>126</v>
      </c>
      <c r="E46" t="s">
        <v>131</v>
      </c>
      <c r="F46" s="1">
        <v>0.15</v>
      </c>
      <c r="G46" s="1">
        <f>IF(Table1[[#This Row],[PPB]]="Sim",0.12,0.04)</f>
        <v>0.04</v>
      </c>
      <c r="K46" s="2" t="str" cm="1">
        <f t="array" ref="K4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6" s="3">
        <v>669.01808363799591</v>
      </c>
      <c r="M46" s="3">
        <f t="shared" si="0"/>
        <v>822.89224287473496</v>
      </c>
      <c r="N46" s="3">
        <f t="shared" si="1"/>
        <v>802.82170036559512</v>
      </c>
      <c r="O46" s="3">
        <f t="shared" si="2"/>
        <v>782.75115785645517</v>
      </c>
      <c r="P46" s="3">
        <f t="shared" si="3"/>
        <v>725.88462074722554</v>
      </c>
      <c r="Q46" s="3">
        <f t="shared" si="4"/>
        <v>677.37470104501142</v>
      </c>
      <c r="R46">
        <f>IFERROR(_xlfn.XLOOKUP(A46,'2025 NOV'!A:A,'2025 NOV'!L:L),"NÃO TEM NA LISTA 2025")</f>
        <v>676.99113999959877</v>
      </c>
      <c r="S46" t="s">
        <v>371</v>
      </c>
      <c r="T46" t="s">
        <v>383</v>
      </c>
      <c r="U46">
        <v>15.6</v>
      </c>
      <c r="V46">
        <v>11.6</v>
      </c>
      <c r="W46" t="s">
        <v>391</v>
      </c>
      <c r="X46">
        <v>2</v>
      </c>
      <c r="Y46">
        <v>32</v>
      </c>
    </row>
    <row r="47" spans="1:25" x14ac:dyDescent="0.2">
      <c r="A47" t="s">
        <v>60</v>
      </c>
      <c r="B47" t="s">
        <v>166</v>
      </c>
      <c r="C47" t="s">
        <v>427</v>
      </c>
      <c r="D47" t="s">
        <v>126</v>
      </c>
      <c r="E47" t="s">
        <v>167</v>
      </c>
      <c r="F47" s="1">
        <v>1.1499999999999999</v>
      </c>
      <c r="G47" s="1">
        <f>IF(Table1[[#This Row],[PPB]]="Sim",0.12,0.04)</f>
        <v>0.04</v>
      </c>
      <c r="K47" s="2" t="str" cm="1">
        <f t="array" ref="K4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7" s="3">
        <v>790.02439024390242</v>
      </c>
      <c r="M47" s="3">
        <f t="shared" si="0"/>
        <v>971.7299999999999</v>
      </c>
      <c r="N47" s="3">
        <f t="shared" si="1"/>
        <v>948.0292682926829</v>
      </c>
      <c r="O47" s="3">
        <f t="shared" si="2"/>
        <v>924.32853658536578</v>
      </c>
      <c r="P47" s="3">
        <f t="shared" si="3"/>
        <v>857.1764634146341</v>
      </c>
      <c r="Q47" s="3">
        <f t="shared" si="4"/>
        <v>799.89248160486977</v>
      </c>
      <c r="R47" t="str">
        <f>IFERROR(_xlfn.XLOOKUP(A47,'2025 NOV'!A:A,'2025 NOV'!L:L),"NÃO TEM NA LISTA 2025")</f>
        <v>NÃO TEM NA LISTA 2025</v>
      </c>
      <c r="S47" t="s">
        <v>371</v>
      </c>
      <c r="T47" t="s">
        <v>383</v>
      </c>
      <c r="U47">
        <v>15.6</v>
      </c>
      <c r="V47">
        <v>11.6</v>
      </c>
      <c r="W47" t="s">
        <v>391</v>
      </c>
      <c r="X47">
        <v>4</v>
      </c>
      <c r="Y47">
        <v>32</v>
      </c>
    </row>
    <row r="48" spans="1:25" x14ac:dyDescent="0.2">
      <c r="A48" t="s">
        <v>61</v>
      </c>
      <c r="B48" t="s">
        <v>168</v>
      </c>
      <c r="C48" t="s">
        <v>427</v>
      </c>
      <c r="D48" t="s">
        <v>126</v>
      </c>
      <c r="E48" t="s">
        <v>131</v>
      </c>
      <c r="F48" s="1">
        <v>0.15</v>
      </c>
      <c r="G48" s="1">
        <f>IF(Table1[[#This Row],[PPB]]="Sim",0.12,0.04)</f>
        <v>0.04</v>
      </c>
      <c r="K48" s="2" t="str" cm="1">
        <f t="array" ref="K4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8" s="3">
        <v>894.07631708356098</v>
      </c>
      <c r="M48" s="3">
        <f t="shared" si="0"/>
        <v>1099.71387001278</v>
      </c>
      <c r="N48" s="3">
        <f t="shared" si="1"/>
        <v>1072.8915805002732</v>
      </c>
      <c r="O48" s="3">
        <f t="shared" si="2"/>
        <v>1046.0692909877662</v>
      </c>
      <c r="P48" s="3">
        <f t="shared" si="3"/>
        <v>970.07280403566358</v>
      </c>
      <c r="Q48" s="3">
        <f t="shared" si="4"/>
        <v>905.24410745764533</v>
      </c>
      <c r="R48" t="str">
        <f>IFERROR(_xlfn.XLOOKUP(A48,'2025 NOV'!A:A,'2025 NOV'!L:L),"NÃO TEM NA LISTA 2025")</f>
        <v>NÃO TEM NA LISTA 2025</v>
      </c>
      <c r="S48" t="s">
        <v>371</v>
      </c>
      <c r="T48" t="s">
        <v>384</v>
      </c>
      <c r="U48">
        <v>15.6</v>
      </c>
      <c r="V48" t="s">
        <v>213</v>
      </c>
      <c r="W48" t="s">
        <v>213</v>
      </c>
      <c r="X48">
        <v>8</v>
      </c>
      <c r="Y48" s="10">
        <v>128</v>
      </c>
    </row>
    <row r="49" spans="1:25" x14ac:dyDescent="0.2">
      <c r="A49" t="s">
        <v>62</v>
      </c>
      <c r="B49" t="s">
        <v>169</v>
      </c>
      <c r="C49" t="s">
        <v>427</v>
      </c>
      <c r="D49" t="s">
        <v>170</v>
      </c>
      <c r="E49" t="s">
        <v>170</v>
      </c>
      <c r="F49" s="1" t="s">
        <v>170</v>
      </c>
      <c r="G49" s="1">
        <f>IF(Table1[[#This Row],[PPB]]="Sim",0.12,0.04)</f>
        <v>0.04</v>
      </c>
      <c r="K49" s="2" t="str" cm="1">
        <f t="array" ref="K4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49" s="3">
        <v>826.786382341935</v>
      </c>
      <c r="M49" s="3">
        <f t="shared" si="0"/>
        <v>1016.9472502805801</v>
      </c>
      <c r="N49" s="3">
        <f t="shared" si="1"/>
        <v>992.14365881032199</v>
      </c>
      <c r="O49" s="3">
        <f t="shared" si="2"/>
        <v>967.34006734006391</v>
      </c>
      <c r="P49" s="3">
        <f t="shared" si="3"/>
        <v>897.06322484099951</v>
      </c>
      <c r="Q49" s="3">
        <f t="shared" si="4"/>
        <v>837.11366293948083</v>
      </c>
      <c r="R49">
        <f>IFERROR(_xlfn.XLOOKUP(A49,'2025 NOV'!A:A,'2025 NOV'!L:L),"NÃO TEM NA LISTA 2025")</f>
        <v>714.18088726305598</v>
      </c>
      <c r="S49" t="s">
        <v>371</v>
      </c>
      <c r="T49" t="s">
        <v>380</v>
      </c>
      <c r="U49">
        <v>21.5</v>
      </c>
      <c r="V49" t="s">
        <v>213</v>
      </c>
      <c r="W49" t="s">
        <v>213</v>
      </c>
      <c r="X49">
        <v>8</v>
      </c>
      <c r="Y49">
        <v>128</v>
      </c>
    </row>
    <row r="50" spans="1:25" x14ac:dyDescent="0.2">
      <c r="A50" t="s">
        <v>63</v>
      </c>
      <c r="B50" t="s">
        <v>171</v>
      </c>
      <c r="C50" t="s">
        <v>427</v>
      </c>
      <c r="D50" t="s">
        <v>170</v>
      </c>
      <c r="E50" t="s">
        <v>170</v>
      </c>
      <c r="F50" s="1" t="s">
        <v>170</v>
      </c>
      <c r="G50" s="1">
        <f>IF(Table1[[#This Row],[PPB]]="Sim",0.12,0.04)</f>
        <v>0.04</v>
      </c>
      <c r="K50" s="2" t="str" cm="1">
        <f t="array" ref="K5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0" s="3">
        <v>890.04523347957729</v>
      </c>
      <c r="M50" s="3">
        <f t="shared" si="0"/>
        <v>1094.7556371798801</v>
      </c>
      <c r="N50" s="3">
        <f t="shared" si="1"/>
        <v>1068.0542801754927</v>
      </c>
      <c r="O50" s="3">
        <f t="shared" si="2"/>
        <v>1041.3529231711054</v>
      </c>
      <c r="P50" s="3">
        <f t="shared" si="3"/>
        <v>965.69907832534136</v>
      </c>
      <c r="Q50" s="3">
        <f t="shared" si="4"/>
        <v>901.16267211543811</v>
      </c>
      <c r="R50">
        <f>IFERROR(_xlfn.XLOOKUP(A50,'2025 NOV'!A:A,'2025 NOV'!L:L),"NÃO TEM NA LISTA 2025")</f>
        <v>766.86636255295355</v>
      </c>
      <c r="S50" t="s">
        <v>371</v>
      </c>
      <c r="T50" t="s">
        <v>380</v>
      </c>
      <c r="U50">
        <v>23.8</v>
      </c>
      <c r="V50" t="s">
        <v>213</v>
      </c>
      <c r="W50" t="s">
        <v>213</v>
      </c>
      <c r="X50">
        <v>8</v>
      </c>
      <c r="Y50">
        <v>128</v>
      </c>
    </row>
    <row r="51" spans="1:25" x14ac:dyDescent="0.2">
      <c r="A51" t="s">
        <v>64</v>
      </c>
      <c r="B51" t="s">
        <v>172</v>
      </c>
      <c r="C51" t="s">
        <v>427</v>
      </c>
      <c r="D51" t="s">
        <v>170</v>
      </c>
      <c r="E51" t="s">
        <v>170</v>
      </c>
      <c r="F51" s="1" t="s">
        <v>170</v>
      </c>
      <c r="G51" s="1">
        <f>IF(Table1[[#This Row],[PPB]]="Sim",0.12,0.04)</f>
        <v>0.04</v>
      </c>
      <c r="K51" s="2" t="str" cm="1">
        <f t="array" ref="K5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1" s="3">
        <v>923.37516579940666</v>
      </c>
      <c r="M51" s="3">
        <f t="shared" si="0"/>
        <v>1135.7514539332701</v>
      </c>
      <c r="N51" s="3">
        <f t="shared" si="1"/>
        <v>1108.0501989592879</v>
      </c>
      <c r="O51" s="3">
        <f t="shared" si="2"/>
        <v>1080.3489439853058</v>
      </c>
      <c r="P51" s="3">
        <f t="shared" si="3"/>
        <v>1001.8620548923562</v>
      </c>
      <c r="Q51" s="3">
        <f t="shared" si="4"/>
        <v>934.90892426190646</v>
      </c>
      <c r="R51">
        <f>IFERROR(_xlfn.XLOOKUP(A51,'2025 NOV'!A:A,'2025 NOV'!L:L),"NÃO TEM NA LISTA 2025")</f>
        <v>797.16911958243702</v>
      </c>
      <c r="S51" t="s">
        <v>371</v>
      </c>
      <c r="T51" t="s">
        <v>380</v>
      </c>
      <c r="U51">
        <v>27</v>
      </c>
      <c r="V51" t="s">
        <v>213</v>
      </c>
      <c r="W51" t="s">
        <v>213</v>
      </c>
      <c r="X51">
        <v>8</v>
      </c>
      <c r="Y51">
        <v>128</v>
      </c>
    </row>
    <row r="52" spans="1:25" x14ac:dyDescent="0.2">
      <c r="A52" t="s">
        <v>65</v>
      </c>
      <c r="B52" t="s">
        <v>173</v>
      </c>
      <c r="C52" t="s">
        <v>427</v>
      </c>
      <c r="D52" t="s">
        <v>170</v>
      </c>
      <c r="E52" t="s">
        <v>170</v>
      </c>
      <c r="F52" s="1" t="s">
        <v>170</v>
      </c>
      <c r="G52" s="1">
        <f>IF(Table1[[#This Row],[PPB]]="Sim",0.12,0.04)</f>
        <v>0.04</v>
      </c>
      <c r="K52" s="2" t="str" cm="1">
        <f t="array" ref="K5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2" s="3">
        <v>1135.9385096758863</v>
      </c>
      <c r="M52" s="3">
        <f t="shared" si="0"/>
        <v>1397.2043669013401</v>
      </c>
      <c r="N52" s="3">
        <f t="shared" si="1"/>
        <v>1363.1262116110636</v>
      </c>
      <c r="O52" s="3">
        <f t="shared" si="2"/>
        <v>1329.0480563207868</v>
      </c>
      <c r="P52" s="3">
        <f t="shared" si="3"/>
        <v>1232.4932829983366</v>
      </c>
      <c r="Q52" s="3">
        <f t="shared" si="4"/>
        <v>1150.1273690735841</v>
      </c>
      <c r="R52">
        <f>IFERROR(_xlfn.XLOOKUP(A52,'2025 NOV'!A:A,'2025 NOV'!L:L),"NÃO TEM NA LISTA 2025")</f>
        <v>1070.9269813828853</v>
      </c>
      <c r="S52" t="s">
        <v>371</v>
      </c>
      <c r="T52" t="s">
        <v>382</v>
      </c>
      <c r="U52">
        <v>21.5</v>
      </c>
      <c r="V52" t="s">
        <v>213</v>
      </c>
      <c r="W52" t="s">
        <v>213</v>
      </c>
      <c r="X52">
        <v>8</v>
      </c>
      <c r="Y52">
        <v>128</v>
      </c>
    </row>
    <row r="53" spans="1:25" x14ac:dyDescent="0.2">
      <c r="A53" t="s">
        <v>66</v>
      </c>
      <c r="B53" t="s">
        <v>174</v>
      </c>
      <c r="C53" t="s">
        <v>427</v>
      </c>
      <c r="D53" t="s">
        <v>170</v>
      </c>
      <c r="E53" t="s">
        <v>170</v>
      </c>
      <c r="F53" s="1" t="s">
        <v>170</v>
      </c>
      <c r="G53" s="1">
        <f>IF(Table1[[#This Row],[PPB]]="Sim",0.12,0.04)</f>
        <v>0.04</v>
      </c>
      <c r="K53" s="2" t="str" cm="1">
        <f t="array" ref="K5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3" s="3">
        <v>1197.8369554127155</v>
      </c>
      <c r="M53" s="3">
        <f t="shared" si="0"/>
        <v>1473.33945515764</v>
      </c>
      <c r="N53" s="3">
        <f t="shared" si="1"/>
        <v>1437.4043464952586</v>
      </c>
      <c r="O53" s="3">
        <f t="shared" si="2"/>
        <v>1401.4692378328771</v>
      </c>
      <c r="P53" s="3">
        <f t="shared" si="3"/>
        <v>1299.6530966227963</v>
      </c>
      <c r="Q53" s="3">
        <f t="shared" si="4"/>
        <v>1212.798980202743</v>
      </c>
      <c r="R53">
        <f>IFERROR(_xlfn.XLOOKUP(A53,'2025 NOV'!A:A,'2025 NOV'!L:L),"NÃO TEM NA LISTA 2025")</f>
        <v>1121.5463596025909</v>
      </c>
      <c r="S53" t="s">
        <v>371</v>
      </c>
      <c r="T53" t="s">
        <v>382</v>
      </c>
      <c r="U53">
        <v>23.8</v>
      </c>
      <c r="V53" t="s">
        <v>213</v>
      </c>
      <c r="W53" t="s">
        <v>213</v>
      </c>
      <c r="X53">
        <v>8</v>
      </c>
      <c r="Y53">
        <v>128</v>
      </c>
    </row>
    <row r="54" spans="1:25" x14ac:dyDescent="0.2">
      <c r="A54" t="s">
        <v>67</v>
      </c>
      <c r="B54" t="s">
        <v>175</v>
      </c>
      <c r="C54" t="s">
        <v>427</v>
      </c>
      <c r="D54" t="s">
        <v>170</v>
      </c>
      <c r="E54" t="s">
        <v>170</v>
      </c>
      <c r="F54" s="1" t="s">
        <v>170</v>
      </c>
      <c r="G54" s="1">
        <f>IF(Table1[[#This Row],[PPB]]="Sim",0.12,0.04)</f>
        <v>0.04</v>
      </c>
      <c r="K54" s="2" t="str" cm="1">
        <f t="array" ref="K5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4" s="3">
        <v>1233.207495833756</v>
      </c>
      <c r="M54" s="3">
        <f t="shared" si="0"/>
        <v>1516.8452198755199</v>
      </c>
      <c r="N54" s="3">
        <f t="shared" si="1"/>
        <v>1479.8489950005071</v>
      </c>
      <c r="O54" s="3">
        <f t="shared" si="2"/>
        <v>1442.8527701254943</v>
      </c>
      <c r="P54" s="3">
        <f t="shared" si="3"/>
        <v>1338.0301329796253</v>
      </c>
      <c r="Q54" s="3">
        <f t="shared" si="4"/>
        <v>1248.6113294194004</v>
      </c>
      <c r="R54">
        <f>IFERROR(_xlfn.XLOOKUP(A54,'2025 NOV'!A:A,'2025 NOV'!L:L),"NÃO TEM NA LISTA 2025")</f>
        <v>1157.703058330952</v>
      </c>
      <c r="S54" t="s">
        <v>371</v>
      </c>
      <c r="T54" t="s">
        <v>382</v>
      </c>
      <c r="U54">
        <v>27</v>
      </c>
      <c r="V54" t="s">
        <v>213</v>
      </c>
      <c r="W54" t="s">
        <v>213</v>
      </c>
      <c r="X54">
        <v>8</v>
      </c>
      <c r="Y54">
        <v>128</v>
      </c>
    </row>
    <row r="55" spans="1:25" x14ac:dyDescent="0.2">
      <c r="A55" t="s">
        <v>176</v>
      </c>
      <c r="B55" t="s">
        <v>177</v>
      </c>
      <c r="D55" t="s">
        <v>170</v>
      </c>
      <c r="E55" t="s">
        <v>170</v>
      </c>
      <c r="F55" s="1" t="s">
        <v>170</v>
      </c>
      <c r="G55" s="1">
        <f>IF(Table1[[#This Row],[PPB]]="Sim",0.12,0.04)</f>
        <v>0.04</v>
      </c>
      <c r="K55" s="2" t="str" cm="1">
        <f t="array" ref="K5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5" s="3">
        <v>104.82926829268293</v>
      </c>
      <c r="M55" s="3">
        <f t="shared" si="0"/>
        <v>128.94</v>
      </c>
      <c r="N55" s="3">
        <f t="shared" si="1"/>
        <v>125.7951219512195</v>
      </c>
      <c r="O55" s="3">
        <f t="shared" si="2"/>
        <v>122.65024390243902</v>
      </c>
      <c r="P55" s="3">
        <f t="shared" si="3"/>
        <v>113.73975609756097</v>
      </c>
      <c r="Q55" s="3">
        <f t="shared" si="4"/>
        <v>106.13867697625051</v>
      </c>
      <c r="R55" t="str">
        <f>IFERROR(_xlfn.XLOOKUP(A55,'2025 NOV'!A:A,'2025 NOV'!L:L),"NÃO TEM NA LISTA 2025")</f>
        <v>NÃO TEM NA LISTA 2025</v>
      </c>
      <c r="S55" t="s">
        <v>371</v>
      </c>
      <c r="T55" t="s">
        <v>213</v>
      </c>
      <c r="U55" t="s">
        <v>213</v>
      </c>
      <c r="V55" t="s">
        <v>213</v>
      </c>
      <c r="W55" t="s">
        <v>213</v>
      </c>
      <c r="X55" t="s">
        <v>213</v>
      </c>
      <c r="Y55" t="s">
        <v>213</v>
      </c>
    </row>
    <row r="56" spans="1:25" x14ac:dyDescent="0.2">
      <c r="A56" t="s">
        <v>178</v>
      </c>
      <c r="B56" t="s">
        <v>179</v>
      </c>
      <c r="D56" t="s">
        <v>170</v>
      </c>
      <c r="E56" t="s">
        <v>170</v>
      </c>
      <c r="F56" s="1" t="s">
        <v>170</v>
      </c>
      <c r="G56" s="1">
        <f>IF(Table1[[#This Row],[PPB]]="Sim",0.12,0.04)</f>
        <v>0.04</v>
      </c>
      <c r="K56" s="2" t="str" cm="1">
        <f t="array" ref="K5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6" s="3">
        <v>123.83739837398373</v>
      </c>
      <c r="M56" s="3">
        <f t="shared" si="0"/>
        <v>152.32</v>
      </c>
      <c r="N56" s="3">
        <f t="shared" si="1"/>
        <v>148.60487804878048</v>
      </c>
      <c r="O56" s="3">
        <f t="shared" si="2"/>
        <v>144.88975609756096</v>
      </c>
      <c r="P56" s="3">
        <f t="shared" si="3"/>
        <v>134.36357723577234</v>
      </c>
      <c r="Q56" s="3">
        <f t="shared" si="4"/>
        <v>125.38423512503859</v>
      </c>
      <c r="R56" t="str">
        <f>IFERROR(_xlfn.XLOOKUP(A56,'2025 NOV'!A:A,'2025 NOV'!L:L),"NÃO TEM NA LISTA 2025")</f>
        <v>NÃO TEM NA LISTA 2025</v>
      </c>
      <c r="S56" t="s">
        <v>371</v>
      </c>
      <c r="T56" t="s">
        <v>213</v>
      </c>
      <c r="U56" t="s">
        <v>213</v>
      </c>
      <c r="V56" t="s">
        <v>213</v>
      </c>
      <c r="W56" t="s">
        <v>213</v>
      </c>
      <c r="X56" t="s">
        <v>213</v>
      </c>
      <c r="Y56" t="s">
        <v>213</v>
      </c>
    </row>
    <row r="57" spans="1:25" x14ac:dyDescent="0.2">
      <c r="A57" t="s">
        <v>68</v>
      </c>
      <c r="B57" t="s">
        <v>180</v>
      </c>
      <c r="C57" t="s">
        <v>424</v>
      </c>
      <c r="D57" t="s">
        <v>126</v>
      </c>
      <c r="E57" t="s">
        <v>131</v>
      </c>
      <c r="F57" s="1">
        <v>0.15</v>
      </c>
      <c r="G57" s="1">
        <f>IF(Table1[[#This Row],[PPB]]="Sim",0.12,0.04)</f>
        <v>0.04</v>
      </c>
      <c r="H57" s="1" t="s">
        <v>421</v>
      </c>
      <c r="I57" s="1" t="s">
        <v>434</v>
      </c>
      <c r="J57" s="1" t="s">
        <v>391</v>
      </c>
      <c r="K57" s="2" cm="1">
        <f t="array" ref="K5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9.0899999999999995E-2</v>
      </c>
      <c r="L57" s="3">
        <v>67.504065040650403</v>
      </c>
      <c r="M57" s="3">
        <f t="shared" si="0"/>
        <v>83.03</v>
      </c>
      <c r="N57" s="3">
        <f t="shared" si="1"/>
        <v>81.004878048780483</v>
      </c>
      <c r="O57" s="3">
        <f t="shared" si="2"/>
        <v>78.979756097560966</v>
      </c>
      <c r="P57" s="3">
        <f t="shared" si="3"/>
        <v>73.241910569105684</v>
      </c>
      <c r="Q57" s="3">
        <f t="shared" si="4"/>
        <v>68.347249490755999</v>
      </c>
      <c r="R57">
        <f>IFERROR(_xlfn.XLOOKUP(A57,'2025 NOV'!A:A,'2025 NOV'!L:L),"NÃO TEM NA LISTA 2025")</f>
        <v>67.797541033452305</v>
      </c>
      <c r="S57" t="s">
        <v>372</v>
      </c>
      <c r="T57" t="s">
        <v>213</v>
      </c>
      <c r="U57" t="s">
        <v>213</v>
      </c>
      <c r="V57" t="s">
        <v>213</v>
      </c>
      <c r="W57" t="s">
        <v>213</v>
      </c>
      <c r="X57" t="s">
        <v>213</v>
      </c>
      <c r="Y57" t="s">
        <v>213</v>
      </c>
    </row>
    <row r="58" spans="1:25" x14ac:dyDescent="0.2">
      <c r="A58" t="s">
        <v>69</v>
      </c>
      <c r="B58" t="s">
        <v>181</v>
      </c>
      <c r="C58" t="s">
        <v>424</v>
      </c>
      <c r="D58" t="s">
        <v>126</v>
      </c>
      <c r="E58" t="s">
        <v>127</v>
      </c>
      <c r="F58" s="1">
        <v>0.15</v>
      </c>
      <c r="G58" s="1">
        <f>IF(Table1[[#This Row],[PPB]]="Sim",0.12,0.04)</f>
        <v>0.04</v>
      </c>
      <c r="K58" s="2" t="str" cm="1">
        <f t="array" ref="K5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8" s="3">
        <v>171.10333611447805</v>
      </c>
      <c r="M58" s="3">
        <f t="shared" si="0"/>
        <v>210.45710342080801</v>
      </c>
      <c r="N58" s="3">
        <f t="shared" si="1"/>
        <v>205.32400333737365</v>
      </c>
      <c r="O58" s="3">
        <f t="shared" si="2"/>
        <v>200.19090325393933</v>
      </c>
      <c r="P58" s="3">
        <f t="shared" si="3"/>
        <v>185.64711968420869</v>
      </c>
      <c r="Q58" s="3">
        <f t="shared" si="4"/>
        <v>173.24056551371558</v>
      </c>
      <c r="R58">
        <f>IFERROR(_xlfn.XLOOKUP(A58,'2025 NOV'!A:A,'2025 NOV'!L:L),"NÃO TEM NA LISTA 2025")</f>
        <v>173.24056551371532</v>
      </c>
      <c r="S58" t="s">
        <v>372</v>
      </c>
      <c r="T58" t="s">
        <v>213</v>
      </c>
      <c r="U58" t="s">
        <v>213</v>
      </c>
      <c r="V58" t="s">
        <v>213</v>
      </c>
      <c r="W58" t="s">
        <v>213</v>
      </c>
      <c r="X58" t="s">
        <v>213</v>
      </c>
      <c r="Y58" t="s">
        <v>213</v>
      </c>
    </row>
    <row r="59" spans="1:25" x14ac:dyDescent="0.2">
      <c r="A59" t="s">
        <v>70</v>
      </c>
      <c r="B59" t="s">
        <v>182</v>
      </c>
      <c r="C59" t="s">
        <v>424</v>
      </c>
      <c r="D59" t="s">
        <v>126</v>
      </c>
      <c r="E59" t="s">
        <v>170</v>
      </c>
      <c r="F59" s="1" t="s">
        <v>170</v>
      </c>
      <c r="G59" s="1">
        <f>IF(Table1[[#This Row],[PPB]]="Sim",0.12,0.04)</f>
        <v>0.04</v>
      </c>
      <c r="K59" s="2" t="str" cm="1">
        <f t="array" ref="K5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59" s="3">
        <v>75.944427640554721</v>
      </c>
      <c r="M59" s="3">
        <f t="shared" si="0"/>
        <v>93.411645997882303</v>
      </c>
      <c r="N59" s="3">
        <f t="shared" si="1"/>
        <v>91.133313168665666</v>
      </c>
      <c r="O59" s="3">
        <f t="shared" si="2"/>
        <v>88.854980339449014</v>
      </c>
      <c r="P59" s="3">
        <f t="shared" si="3"/>
        <v>82.399703990001868</v>
      </c>
      <c r="Q59" s="3">
        <f t="shared" si="4"/>
        <v>76.893039556298234</v>
      </c>
      <c r="R59" t="str">
        <f>IFERROR(_xlfn.XLOOKUP(A59,'2025 NOV'!A:A,'2025 NOV'!L:L),"NÃO TEM NA LISTA 2025")</f>
        <v>NÃO TEM NA LISTA 2025</v>
      </c>
      <c r="S59" t="s">
        <v>372</v>
      </c>
      <c r="T59" t="s">
        <v>213</v>
      </c>
      <c r="U59" t="s">
        <v>213</v>
      </c>
      <c r="V59" t="s">
        <v>213</v>
      </c>
      <c r="W59" t="s">
        <v>213</v>
      </c>
      <c r="X59" t="s">
        <v>213</v>
      </c>
      <c r="Y59" t="s">
        <v>213</v>
      </c>
    </row>
    <row r="60" spans="1:25" x14ac:dyDescent="0.2">
      <c r="A60" t="s">
        <v>71</v>
      </c>
      <c r="B60" t="s">
        <v>183</v>
      </c>
      <c r="C60" t="s">
        <v>424</v>
      </c>
      <c r="D60" t="s">
        <v>126</v>
      </c>
      <c r="E60" t="s">
        <v>127</v>
      </c>
      <c r="F60" s="1">
        <v>0.15</v>
      </c>
      <c r="G60" s="1">
        <f>IF(Table1[[#This Row],[PPB]]="Sim",0.12,0.04)</f>
        <v>0.04</v>
      </c>
      <c r="K60" s="2" t="str" cm="1">
        <f t="array" ref="K6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60" s="3">
        <v>151.64174943789268</v>
      </c>
      <c r="M60" s="3">
        <f t="shared" si="0"/>
        <v>186.51935180860801</v>
      </c>
      <c r="N60" s="3">
        <f t="shared" si="1"/>
        <v>181.97009932547121</v>
      </c>
      <c r="O60" s="3">
        <f t="shared" si="2"/>
        <v>177.42084684233444</v>
      </c>
      <c r="P60" s="3">
        <f t="shared" si="3"/>
        <v>164.53129814011356</v>
      </c>
      <c r="Q60" s="3">
        <f t="shared" si="4"/>
        <v>153.53588670260174</v>
      </c>
      <c r="R60">
        <f>IFERROR(_xlfn.XLOOKUP(A60,'2025 NOV'!A:A,'2025 NOV'!L:L),"NÃO TEM NA LISTA 2025")</f>
        <v>153.53588670260169</v>
      </c>
      <c r="S60" t="s">
        <v>372</v>
      </c>
      <c r="T60" t="s">
        <v>213</v>
      </c>
      <c r="U60" t="s">
        <v>213</v>
      </c>
      <c r="V60" t="s">
        <v>213</v>
      </c>
      <c r="W60" t="s">
        <v>213</v>
      </c>
      <c r="X60" t="s">
        <v>213</v>
      </c>
      <c r="Y60" t="s">
        <v>213</v>
      </c>
    </row>
    <row r="61" spans="1:25" x14ac:dyDescent="0.2">
      <c r="A61" t="s">
        <v>72</v>
      </c>
      <c r="B61" t="s">
        <v>184</v>
      </c>
      <c r="C61" t="s">
        <v>402</v>
      </c>
      <c r="D61" t="s">
        <v>126</v>
      </c>
      <c r="E61" t="s">
        <v>131</v>
      </c>
      <c r="F61" s="1">
        <v>9.7500000000000003E-2</v>
      </c>
      <c r="G61" s="1">
        <f>IF(Table1[[#This Row],[PPB]]="Sim",0.12,0.04)</f>
        <v>0.04</v>
      </c>
      <c r="K61" s="2" t="str" cm="1">
        <f t="array" ref="K6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61" s="3">
        <v>136.95426602180731</v>
      </c>
      <c r="M61" s="3">
        <f t="shared" si="0"/>
        <v>168.45374720682298</v>
      </c>
      <c r="N61" s="3">
        <f t="shared" si="1"/>
        <v>164.34511922616878</v>
      </c>
      <c r="O61" s="3">
        <f t="shared" si="2"/>
        <v>160.23649124551454</v>
      </c>
      <c r="P61" s="3">
        <f t="shared" si="3"/>
        <v>148.59537863366091</v>
      </c>
      <c r="Q61" s="3">
        <f t="shared" si="4"/>
        <v>138.66494385158947</v>
      </c>
      <c r="R61" t="str">
        <f>IFERROR(_xlfn.XLOOKUP(A61,'2025 NOV'!A:A,'2025 NOV'!L:L),"NÃO TEM NA LISTA 2025")</f>
        <v>NÃO TEM NA LISTA 2025</v>
      </c>
      <c r="S61" t="s">
        <v>373</v>
      </c>
      <c r="T61" t="s">
        <v>213</v>
      </c>
      <c r="U61" t="s">
        <v>213</v>
      </c>
      <c r="V61" t="s">
        <v>213</v>
      </c>
      <c r="W61" t="s">
        <v>213</v>
      </c>
      <c r="X61" t="s">
        <v>213</v>
      </c>
      <c r="Y61" t="s">
        <v>213</v>
      </c>
    </row>
    <row r="62" spans="1:25" x14ac:dyDescent="0.2">
      <c r="A62" t="s">
        <v>73</v>
      </c>
      <c r="B62" t="s">
        <v>185</v>
      </c>
      <c r="C62" t="s">
        <v>402</v>
      </c>
      <c r="D62" t="s">
        <v>126</v>
      </c>
      <c r="E62" t="s">
        <v>131</v>
      </c>
      <c r="F62" s="1">
        <v>9.7500000000000003E-2</v>
      </c>
      <c r="G62" s="1">
        <f>IF(Table1[[#This Row],[PPB]]="Sim",0.12,0.04)</f>
        <v>0.04</v>
      </c>
      <c r="K62" s="2" t="str" cm="1">
        <f t="array" ref="K6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62" s="3">
        <v>67.901694918375284</v>
      </c>
      <c r="M62" s="3">
        <f t="shared" si="0"/>
        <v>83.519084749601603</v>
      </c>
      <c r="N62" s="3">
        <f t="shared" si="1"/>
        <v>81.482033902050333</v>
      </c>
      <c r="O62" s="3">
        <f t="shared" si="2"/>
        <v>79.444983054499076</v>
      </c>
      <c r="P62" s="3">
        <f t="shared" si="3"/>
        <v>73.673338986437187</v>
      </c>
      <c r="Q62" s="3">
        <f t="shared" si="4"/>
        <v>68.749846111292499</v>
      </c>
      <c r="R62">
        <f>IFERROR(_xlfn.XLOOKUP(A62,'2025 NOV'!A:A,'2025 NOV'!L:L),"NÃO TEM NA LISTA 2025")</f>
        <v>68.74984611129247</v>
      </c>
      <c r="S62" t="s">
        <v>373</v>
      </c>
      <c r="T62" t="s">
        <v>213</v>
      </c>
      <c r="U62" t="s">
        <v>213</v>
      </c>
      <c r="V62" t="s">
        <v>213</v>
      </c>
      <c r="W62" t="s">
        <v>213</v>
      </c>
      <c r="X62" t="s">
        <v>213</v>
      </c>
      <c r="Y62" t="s">
        <v>213</v>
      </c>
    </row>
    <row r="63" spans="1:25" x14ac:dyDescent="0.2">
      <c r="A63" t="s">
        <v>74</v>
      </c>
      <c r="B63" t="s">
        <v>186</v>
      </c>
      <c r="C63" t="s">
        <v>402</v>
      </c>
      <c r="D63" t="s">
        <v>126</v>
      </c>
      <c r="E63" t="s">
        <v>131</v>
      </c>
      <c r="F63" s="1">
        <v>9.7500000000000003E-2</v>
      </c>
      <c r="G63" s="1">
        <f>IF(Table1[[#This Row],[PPB]]="Sim",0.12,0.04)</f>
        <v>0.04</v>
      </c>
      <c r="H63" s="1" t="s">
        <v>421</v>
      </c>
      <c r="I63" s="1" t="s">
        <v>434</v>
      </c>
      <c r="J63" s="1" t="s">
        <v>391</v>
      </c>
      <c r="K63" s="2" cm="1">
        <f t="array" ref="K6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9.0899999999999995E-2</v>
      </c>
      <c r="L63" s="3">
        <v>119.06504660127885</v>
      </c>
      <c r="M63" s="3">
        <f t="shared" si="0"/>
        <v>146.45000731957299</v>
      </c>
      <c r="N63" s="3">
        <f t="shared" si="1"/>
        <v>142.87805592153461</v>
      </c>
      <c r="O63" s="3">
        <f t="shared" si="2"/>
        <v>139.30610452349626</v>
      </c>
      <c r="P63" s="3">
        <f t="shared" si="3"/>
        <v>129.18557556238756</v>
      </c>
      <c r="Q63" s="3">
        <f t="shared" si="4"/>
        <v>120.55227253033721</v>
      </c>
      <c r="R63">
        <f>IFERROR(_xlfn.XLOOKUP(A63,'2025 NOV'!A:A,'2025 NOV'!L:L),"NÃO TEM NA LISTA 2025")</f>
        <v>120.55227253033684</v>
      </c>
      <c r="S63" t="s">
        <v>373</v>
      </c>
      <c r="T63" t="s">
        <v>213</v>
      </c>
      <c r="U63" t="s">
        <v>213</v>
      </c>
      <c r="V63" t="s">
        <v>213</v>
      </c>
      <c r="W63" t="s">
        <v>213</v>
      </c>
      <c r="X63" t="s">
        <v>213</v>
      </c>
      <c r="Y63" t="s">
        <v>213</v>
      </c>
    </row>
    <row r="64" spans="1:25" x14ac:dyDescent="0.2">
      <c r="A64" t="s">
        <v>75</v>
      </c>
      <c r="B64" t="s">
        <v>187</v>
      </c>
      <c r="C64" t="s">
        <v>402</v>
      </c>
      <c r="D64" t="s">
        <v>126</v>
      </c>
      <c r="E64" t="s">
        <v>131</v>
      </c>
      <c r="F64" s="1">
        <v>9.7500000000000003E-2</v>
      </c>
      <c r="G64" s="1">
        <f>IF(Table1[[#This Row],[PPB]]="Sim",0.12,0.04)</f>
        <v>0.04</v>
      </c>
      <c r="K64" s="2" t="str" cm="1">
        <f t="array" ref="K6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64" s="3">
        <v>132.0776200003252</v>
      </c>
      <c r="M64" s="3">
        <f t="shared" si="0"/>
        <v>162.45547260039999</v>
      </c>
      <c r="N64" s="3">
        <f t="shared" si="1"/>
        <v>158.49314400039023</v>
      </c>
      <c r="O64" s="3">
        <f t="shared" si="2"/>
        <v>154.53081540038048</v>
      </c>
      <c r="P64" s="3">
        <f t="shared" si="3"/>
        <v>143.30421770035284</v>
      </c>
      <c r="Q64" s="3">
        <f t="shared" si="4"/>
        <v>133.7273842822861</v>
      </c>
      <c r="R64">
        <f>IFERROR(_xlfn.XLOOKUP(A64,'2025 NOV'!A:A,'2025 NOV'!L:L),"NÃO TEM NA LISTA 2025")</f>
        <v>133.72738428228624</v>
      </c>
      <c r="S64" t="s">
        <v>373</v>
      </c>
      <c r="T64" t="s">
        <v>213</v>
      </c>
      <c r="U64" t="s">
        <v>213</v>
      </c>
      <c r="V64" t="s">
        <v>213</v>
      </c>
      <c r="W64" t="s">
        <v>213</v>
      </c>
      <c r="X64" t="s">
        <v>213</v>
      </c>
      <c r="Y64" t="s">
        <v>213</v>
      </c>
    </row>
    <row r="65" spans="1:25" x14ac:dyDescent="0.2">
      <c r="A65" t="s">
        <v>76</v>
      </c>
      <c r="B65" t="s">
        <v>188</v>
      </c>
      <c r="C65" t="s">
        <v>402</v>
      </c>
      <c r="D65" t="s">
        <v>126</v>
      </c>
      <c r="E65" t="s">
        <v>131</v>
      </c>
      <c r="F65" s="1">
        <v>9.7500000000000003E-2</v>
      </c>
      <c r="G65" s="1">
        <f>IF(Table1[[#This Row],[PPB]]="Sim",0.12,0.04)</f>
        <v>0.04</v>
      </c>
      <c r="K65" s="2" t="str" cm="1">
        <f t="array" ref="K6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65" s="3">
        <v>47.758913007139917</v>
      </c>
      <c r="M65" s="3">
        <f t="shared" si="0"/>
        <v>58.7434629987821</v>
      </c>
      <c r="N65" s="3">
        <f t="shared" si="1"/>
        <v>57.310695608567897</v>
      </c>
      <c r="O65" s="3">
        <f t="shared" si="2"/>
        <v>55.877928218353702</v>
      </c>
      <c r="P65" s="3">
        <f t="shared" si="3"/>
        <v>51.818420612746806</v>
      </c>
      <c r="Q65" s="3">
        <f t="shared" si="4"/>
        <v>48.355463344920558</v>
      </c>
      <c r="R65">
        <f>IFERROR(_xlfn.XLOOKUP(A65,'2025 NOV'!A:A,'2025 NOV'!L:L),"NÃO TEM NA LISTA 2025")</f>
        <v>48.355463344920594</v>
      </c>
      <c r="S65" t="s">
        <v>373</v>
      </c>
      <c r="T65" t="s">
        <v>213</v>
      </c>
      <c r="U65" t="s">
        <v>213</v>
      </c>
      <c r="V65" t="s">
        <v>213</v>
      </c>
      <c r="W65" t="s">
        <v>213</v>
      </c>
      <c r="X65" t="s">
        <v>213</v>
      </c>
      <c r="Y65" t="s">
        <v>213</v>
      </c>
    </row>
    <row r="66" spans="1:25" x14ac:dyDescent="0.2">
      <c r="A66" t="s">
        <v>77</v>
      </c>
      <c r="B66" t="s">
        <v>189</v>
      </c>
      <c r="C66" t="s">
        <v>424</v>
      </c>
      <c r="D66" t="s">
        <v>190</v>
      </c>
      <c r="E66" t="s">
        <v>127</v>
      </c>
      <c r="F66" s="1">
        <v>0.15</v>
      </c>
      <c r="G66" s="1">
        <f>IF(Table1[[#This Row],[PPB]]="Sim",0.12,0.04)</f>
        <v>0.12</v>
      </c>
      <c r="H66" s="1" t="s">
        <v>416</v>
      </c>
      <c r="I66" s="1" t="s">
        <v>434</v>
      </c>
      <c r="J66" s="1" t="s">
        <v>391</v>
      </c>
      <c r="K66" s="2" cm="1">
        <f t="array" ref="K6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0</v>
      </c>
      <c r="L66" s="3">
        <v>276.28737839059107</v>
      </c>
      <c r="M66" s="3">
        <f t="shared" si="0"/>
        <v>339.83347542042702</v>
      </c>
      <c r="N66" s="3">
        <f t="shared" si="1"/>
        <v>331.5448540687093</v>
      </c>
      <c r="O66" s="3">
        <f t="shared" si="2"/>
        <v>323.25623271699152</v>
      </c>
      <c r="P66" s="3">
        <f t="shared" si="3"/>
        <v>299.7718055537913</v>
      </c>
      <c r="Q66" s="3">
        <f t="shared" si="4"/>
        <v>279.73844790883567</v>
      </c>
      <c r="R66" t="str">
        <f>IFERROR(_xlfn.XLOOKUP(A66,'2025 NOV'!A:A,'2025 NOV'!L:L),"NÃO TEM NA LISTA 2025")</f>
        <v>NÃO TEM NA LISTA 2025</v>
      </c>
      <c r="S66" t="s">
        <v>374</v>
      </c>
      <c r="T66" t="s">
        <v>213</v>
      </c>
      <c r="U66" t="s">
        <v>213</v>
      </c>
      <c r="V66" t="s">
        <v>213</v>
      </c>
      <c r="W66" t="s">
        <v>213</v>
      </c>
      <c r="X66" t="s">
        <v>213</v>
      </c>
      <c r="Y66" t="s">
        <v>213</v>
      </c>
    </row>
    <row r="67" spans="1:25" x14ac:dyDescent="0.2">
      <c r="A67" t="s">
        <v>78</v>
      </c>
      <c r="B67" t="s">
        <v>191</v>
      </c>
      <c r="C67" t="s">
        <v>424</v>
      </c>
      <c r="D67" t="s">
        <v>190</v>
      </c>
      <c r="E67" t="s">
        <v>127</v>
      </c>
      <c r="F67" s="1">
        <v>0.15</v>
      </c>
      <c r="G67" s="1">
        <f>IF(Table1[[#This Row],[PPB]]="Sim",0.12,0.04)</f>
        <v>0.12</v>
      </c>
      <c r="K67" s="2" t="str" cm="1">
        <f t="array" ref="K6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67" s="3">
        <v>229.23577235772356</v>
      </c>
      <c r="M67" s="3">
        <f t="shared" ref="M67:M117" si="5">L67*1.23</f>
        <v>281.95999999999998</v>
      </c>
      <c r="N67" s="3">
        <f t="shared" ref="N67:N117" si="6">L67*1.2</f>
        <v>275.08292682926827</v>
      </c>
      <c r="O67" s="3">
        <f t="shared" ref="O67:O117" si="7">L67*1.17</f>
        <v>268.20585365853657</v>
      </c>
      <c r="P67" s="3">
        <f t="shared" ref="P67:P117" si="8">(L67+O67)/2</f>
        <v>248.72081300813005</v>
      </c>
      <c r="Q67" s="3">
        <f t="shared" ref="Q67:Q117" si="9">L67*1.01249086924762</f>
        <v>232.09912641712106</v>
      </c>
      <c r="R67" t="str">
        <f>IFERROR(_xlfn.XLOOKUP(A67,'2025 NOV'!A:A,'2025 NOV'!L:L),"NÃO TEM NA LISTA 2025")</f>
        <v>NÃO TEM NA LISTA 2025</v>
      </c>
      <c r="S67" t="s">
        <v>374</v>
      </c>
      <c r="T67" t="s">
        <v>213</v>
      </c>
      <c r="U67" t="s">
        <v>213</v>
      </c>
      <c r="V67" t="s">
        <v>213</v>
      </c>
      <c r="W67" t="s">
        <v>213</v>
      </c>
      <c r="X67" t="s">
        <v>213</v>
      </c>
      <c r="Y67" t="s">
        <v>213</v>
      </c>
    </row>
    <row r="68" spans="1:25" x14ac:dyDescent="0.2">
      <c r="A68" t="s">
        <v>79</v>
      </c>
      <c r="B68" t="s">
        <v>192</v>
      </c>
      <c r="C68" t="s">
        <v>424</v>
      </c>
      <c r="D68" t="s">
        <v>190</v>
      </c>
      <c r="E68" t="s">
        <v>127</v>
      </c>
      <c r="F68" s="1">
        <v>0.15</v>
      </c>
      <c r="G68" s="1">
        <f>IF(Table1[[#This Row],[PPB]]="Sim",0.12,0.04)</f>
        <v>0.12</v>
      </c>
      <c r="K68" s="2" t="str" cm="1">
        <f t="array" ref="K6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68" s="3">
        <v>238.30081300813009</v>
      </c>
      <c r="M68" s="3">
        <f t="shared" si="5"/>
        <v>293.11</v>
      </c>
      <c r="N68" s="3">
        <f t="shared" si="6"/>
        <v>285.96097560975608</v>
      </c>
      <c r="O68" s="3">
        <f t="shared" si="7"/>
        <v>278.8119512195122</v>
      </c>
      <c r="P68" s="3">
        <f t="shared" si="8"/>
        <v>258.55638211382114</v>
      </c>
      <c r="Q68" s="3">
        <f t="shared" si="9"/>
        <v>241.27739730501619</v>
      </c>
      <c r="R68" t="str">
        <f>IFERROR(_xlfn.XLOOKUP(A68,'2025 NOV'!A:A,'2025 NOV'!L:L),"NÃO TEM NA LISTA 2025")</f>
        <v>NÃO TEM NA LISTA 2025</v>
      </c>
      <c r="S68" t="s">
        <v>374</v>
      </c>
      <c r="T68" t="s">
        <v>213</v>
      </c>
      <c r="U68" t="s">
        <v>213</v>
      </c>
      <c r="V68" t="s">
        <v>213</v>
      </c>
      <c r="W68" t="s">
        <v>213</v>
      </c>
      <c r="X68" t="s">
        <v>213</v>
      </c>
      <c r="Y68" t="s">
        <v>213</v>
      </c>
    </row>
    <row r="69" spans="1:25" x14ac:dyDescent="0.2">
      <c r="A69" t="s">
        <v>80</v>
      </c>
      <c r="B69" t="s">
        <v>193</v>
      </c>
      <c r="C69" t="s">
        <v>424</v>
      </c>
      <c r="D69" t="s">
        <v>190</v>
      </c>
      <c r="E69" t="s">
        <v>127</v>
      </c>
      <c r="F69" s="1">
        <v>0.15</v>
      </c>
      <c r="G69" s="1">
        <f>IF(Table1[[#This Row],[PPB]]="Sim",0.12,0.04)</f>
        <v>0.12</v>
      </c>
      <c r="K69" s="2" t="str" cm="1">
        <f t="array" ref="K6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69" s="3">
        <v>726.17073170731715</v>
      </c>
      <c r="M69" s="3">
        <f t="shared" si="5"/>
        <v>893.19</v>
      </c>
      <c r="N69" s="3">
        <f t="shared" si="6"/>
        <v>871.40487804878057</v>
      </c>
      <c r="O69" s="3">
        <f t="shared" si="7"/>
        <v>849.61975609756098</v>
      </c>
      <c r="P69" s="3">
        <f t="shared" si="8"/>
        <v>787.89524390243901</v>
      </c>
      <c r="Q69" s="3">
        <f t="shared" si="9"/>
        <v>735.24123536852176</v>
      </c>
      <c r="R69" t="str">
        <f>IFERROR(_xlfn.XLOOKUP(A69,'2025 NOV'!A:A,'2025 NOV'!L:L),"NÃO TEM NA LISTA 2025")</f>
        <v>NÃO TEM NA LISTA 2025</v>
      </c>
      <c r="S69" t="s">
        <v>374</v>
      </c>
      <c r="T69" t="s">
        <v>213</v>
      </c>
      <c r="U69" t="s">
        <v>213</v>
      </c>
      <c r="V69" t="s">
        <v>213</v>
      </c>
      <c r="W69" t="s">
        <v>213</v>
      </c>
      <c r="X69" t="s">
        <v>213</v>
      </c>
      <c r="Y69" t="s">
        <v>213</v>
      </c>
    </row>
    <row r="70" spans="1:25" x14ac:dyDescent="0.2">
      <c r="A70" t="s">
        <v>81</v>
      </c>
      <c r="B70" t="s">
        <v>194</v>
      </c>
      <c r="C70" t="s">
        <v>424</v>
      </c>
      <c r="D70" t="s">
        <v>190</v>
      </c>
      <c r="E70" t="s">
        <v>127</v>
      </c>
      <c r="F70" s="1">
        <v>0.15</v>
      </c>
      <c r="G70" s="1">
        <f>IF(Table1[[#This Row],[PPB]]="Sim",0.12,0.04)</f>
        <v>0.12</v>
      </c>
      <c r="K70" s="2" t="str" cm="1">
        <f t="array" ref="K7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70" s="3">
        <v>304.82926829268291</v>
      </c>
      <c r="M70" s="3">
        <f t="shared" si="5"/>
        <v>374.94</v>
      </c>
      <c r="N70" s="3">
        <f t="shared" si="6"/>
        <v>365.79512195121947</v>
      </c>
      <c r="O70" s="3">
        <f t="shared" si="7"/>
        <v>356.650243902439</v>
      </c>
      <c r="P70" s="3">
        <f t="shared" si="8"/>
        <v>330.73975609756098</v>
      </c>
      <c r="Q70" s="3">
        <f t="shared" si="9"/>
        <v>308.6368508257745</v>
      </c>
      <c r="R70" t="str">
        <f>IFERROR(_xlfn.XLOOKUP(A70,'2025 NOV'!A:A,'2025 NOV'!L:L),"NÃO TEM NA LISTA 2025")</f>
        <v>NÃO TEM NA LISTA 2025</v>
      </c>
      <c r="S70" t="s">
        <v>374</v>
      </c>
      <c r="T70" t="s">
        <v>213</v>
      </c>
      <c r="U70" t="s">
        <v>213</v>
      </c>
      <c r="V70" t="s">
        <v>213</v>
      </c>
      <c r="W70" t="s">
        <v>213</v>
      </c>
      <c r="X70" t="s">
        <v>213</v>
      </c>
      <c r="Y70" t="s">
        <v>213</v>
      </c>
    </row>
    <row r="71" spans="1:25" x14ac:dyDescent="0.2">
      <c r="A71" t="s">
        <v>82</v>
      </c>
      <c r="B71" t="s">
        <v>195</v>
      </c>
      <c r="C71" t="s">
        <v>424</v>
      </c>
      <c r="D71" t="s">
        <v>190</v>
      </c>
      <c r="E71" t="s">
        <v>127</v>
      </c>
      <c r="F71" s="1">
        <v>0.15</v>
      </c>
      <c r="G71" s="1">
        <f>IF(Table1[[#This Row],[PPB]]="Sim",0.12,0.04)</f>
        <v>0.12</v>
      </c>
      <c r="K71" s="2" t="str" cm="1">
        <f t="array" ref="K7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71" s="3">
        <v>212.59819525158454</v>
      </c>
      <c r="M71" s="3">
        <f t="shared" si="5"/>
        <v>261.495780159449</v>
      </c>
      <c r="N71" s="3">
        <f t="shared" si="6"/>
        <v>255.11783430190144</v>
      </c>
      <c r="O71" s="3">
        <f t="shared" si="7"/>
        <v>248.73988844435391</v>
      </c>
      <c r="P71" s="3">
        <f t="shared" si="8"/>
        <v>230.66904184796923</v>
      </c>
      <c r="Q71" s="3">
        <f t="shared" si="9"/>
        <v>215.25373151075206</v>
      </c>
      <c r="R71">
        <f>IFERROR(_xlfn.XLOOKUP(A71,'2025 NOV'!A:A,'2025 NOV'!L:L),"NÃO TEM NA LISTA 2025")</f>
        <v>215.25373151075175</v>
      </c>
      <c r="S71" t="s">
        <v>374</v>
      </c>
      <c r="T71" t="s">
        <v>213</v>
      </c>
      <c r="U71" t="s">
        <v>213</v>
      </c>
      <c r="V71" t="s">
        <v>213</v>
      </c>
      <c r="W71" t="s">
        <v>213</v>
      </c>
      <c r="X71" t="s">
        <v>213</v>
      </c>
      <c r="Y71" t="s">
        <v>213</v>
      </c>
    </row>
    <row r="72" spans="1:25" x14ac:dyDescent="0.2">
      <c r="A72" t="s">
        <v>83</v>
      </c>
      <c r="B72" t="s">
        <v>196</v>
      </c>
      <c r="C72" t="s">
        <v>424</v>
      </c>
      <c r="D72" t="s">
        <v>190</v>
      </c>
      <c r="E72" t="s">
        <v>127</v>
      </c>
      <c r="F72" s="1">
        <v>0.15</v>
      </c>
      <c r="G72" s="1">
        <f>IF(Table1[[#This Row],[PPB]]="Sim",0.12,0.04)</f>
        <v>0.12</v>
      </c>
      <c r="K72" s="2" t="str" cm="1">
        <f t="array" ref="K7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72" s="3">
        <v>178.52903103513495</v>
      </c>
      <c r="M72" s="3">
        <f t="shared" si="5"/>
        <v>219.59070817321597</v>
      </c>
      <c r="N72" s="3">
        <f t="shared" si="6"/>
        <v>214.23483724216194</v>
      </c>
      <c r="O72" s="3">
        <f t="shared" si="7"/>
        <v>208.87896631110789</v>
      </c>
      <c r="P72" s="3">
        <f t="shared" si="8"/>
        <v>193.70399867312142</v>
      </c>
      <c r="Q72" s="3">
        <f t="shared" si="9"/>
        <v>180.75901381869912</v>
      </c>
      <c r="R72">
        <f>IFERROR(_xlfn.XLOOKUP(A72,'2025 NOV'!A:A,'2025 NOV'!L:L),"NÃO TEM NA LISTA 2025")</f>
        <v>180.75901381869889</v>
      </c>
      <c r="S72" t="s">
        <v>374</v>
      </c>
      <c r="T72" t="s">
        <v>213</v>
      </c>
      <c r="U72" t="s">
        <v>213</v>
      </c>
      <c r="V72" t="s">
        <v>213</v>
      </c>
      <c r="W72" t="s">
        <v>213</v>
      </c>
      <c r="X72" t="s">
        <v>213</v>
      </c>
      <c r="Y72" t="s">
        <v>213</v>
      </c>
    </row>
    <row r="73" spans="1:25" x14ac:dyDescent="0.2">
      <c r="A73" t="s">
        <v>84</v>
      </c>
      <c r="B73" t="s">
        <v>197</v>
      </c>
      <c r="C73" t="s">
        <v>424</v>
      </c>
      <c r="D73" t="s">
        <v>190</v>
      </c>
      <c r="E73" t="s">
        <v>127</v>
      </c>
      <c r="F73" s="1">
        <v>0.15</v>
      </c>
      <c r="G73" s="1">
        <f>IF(Table1[[#This Row],[PPB]]="Sim",0.12,0.04)</f>
        <v>0.12</v>
      </c>
      <c r="H73" s="1" t="s">
        <v>421</v>
      </c>
      <c r="I73" s="1" t="s">
        <v>434</v>
      </c>
      <c r="J73" s="1" t="s">
        <v>391</v>
      </c>
      <c r="K73" s="2" cm="1">
        <f t="array" ref="K7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0</v>
      </c>
      <c r="L73" s="3">
        <v>154.45292352293416</v>
      </c>
      <c r="M73" s="3">
        <f t="shared" si="5"/>
        <v>189.977095933209</v>
      </c>
      <c r="N73" s="3">
        <f t="shared" si="6"/>
        <v>185.34350822752097</v>
      </c>
      <c r="O73" s="3">
        <f t="shared" si="7"/>
        <v>180.70992052183294</v>
      </c>
      <c r="P73" s="3">
        <f t="shared" si="8"/>
        <v>167.58142202238355</v>
      </c>
      <c r="Q73" s="3">
        <f t="shared" si="9"/>
        <v>156.38217479557179</v>
      </c>
      <c r="R73">
        <f>IFERROR(_xlfn.XLOOKUP(A73,'2025 NOV'!A:A,'2025 NOV'!L:L),"NÃO TEM NA LISTA 2025")</f>
        <v>156.38217479557156</v>
      </c>
      <c r="S73" t="s">
        <v>374</v>
      </c>
      <c r="T73" t="s">
        <v>213</v>
      </c>
      <c r="U73" t="s">
        <v>213</v>
      </c>
      <c r="V73" t="s">
        <v>213</v>
      </c>
      <c r="W73" t="s">
        <v>213</v>
      </c>
      <c r="X73" t="s">
        <v>213</v>
      </c>
      <c r="Y73" t="s">
        <v>213</v>
      </c>
    </row>
    <row r="74" spans="1:25" x14ac:dyDescent="0.2">
      <c r="A74" t="s">
        <v>85</v>
      </c>
      <c r="B74" t="s">
        <v>198</v>
      </c>
      <c r="C74" t="s">
        <v>424</v>
      </c>
      <c r="D74" t="s">
        <v>190</v>
      </c>
      <c r="E74" t="s">
        <v>127</v>
      </c>
      <c r="F74" s="1">
        <v>0.15</v>
      </c>
      <c r="G74" s="1">
        <f>IF(Table1[[#This Row],[PPB]]="Sim",0.12,0.04)</f>
        <v>0.12</v>
      </c>
      <c r="H74" s="1" t="s">
        <v>421</v>
      </c>
      <c r="I74" s="1" t="s">
        <v>434</v>
      </c>
      <c r="J74" s="1" t="s">
        <v>392</v>
      </c>
      <c r="K74" s="2" cm="1">
        <f t="array" ref="K7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0</v>
      </c>
      <c r="L74" s="3">
        <v>230.18300695292359</v>
      </c>
      <c r="M74" s="3">
        <f t="shared" si="5"/>
        <v>283.12509855209601</v>
      </c>
      <c r="N74" s="3">
        <f t="shared" si="6"/>
        <v>276.2196083435083</v>
      </c>
      <c r="O74" s="3">
        <f t="shared" si="7"/>
        <v>269.31411813492059</v>
      </c>
      <c r="P74" s="3">
        <f t="shared" si="8"/>
        <v>249.74856254392211</v>
      </c>
      <c r="Q74" s="3">
        <f t="shared" si="9"/>
        <v>233.05819279579657</v>
      </c>
      <c r="R74">
        <f>IFERROR(_xlfn.XLOOKUP(A74,'2025 NOV'!A:A,'2025 NOV'!L:L),"NÃO TEM NA LISTA 2025")</f>
        <v>233.05819279579634</v>
      </c>
      <c r="S74" t="s">
        <v>374</v>
      </c>
      <c r="T74" t="s">
        <v>213</v>
      </c>
      <c r="U74" t="s">
        <v>213</v>
      </c>
      <c r="V74" t="s">
        <v>213</v>
      </c>
      <c r="W74" t="s">
        <v>213</v>
      </c>
      <c r="X74" t="s">
        <v>213</v>
      </c>
      <c r="Y74" t="s">
        <v>213</v>
      </c>
    </row>
    <row r="75" spans="1:25" x14ac:dyDescent="0.2">
      <c r="A75" t="s">
        <v>86</v>
      </c>
      <c r="B75" t="s">
        <v>199</v>
      </c>
      <c r="C75" t="s">
        <v>424</v>
      </c>
      <c r="D75" t="s">
        <v>190</v>
      </c>
      <c r="E75" t="s">
        <v>127</v>
      </c>
      <c r="F75" s="1">
        <v>0.15</v>
      </c>
      <c r="G75" s="1">
        <f>IF(Table1[[#This Row],[PPB]]="Sim",0.12,0.04)</f>
        <v>0.12</v>
      </c>
      <c r="K75" s="2" t="str" cm="1">
        <f t="array" ref="K7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75" s="3">
        <v>249.50173740986421</v>
      </c>
      <c r="M75" s="3">
        <f t="shared" si="5"/>
        <v>306.88713701413297</v>
      </c>
      <c r="N75" s="3">
        <f t="shared" si="6"/>
        <v>299.40208489183703</v>
      </c>
      <c r="O75" s="3">
        <f t="shared" si="7"/>
        <v>291.91703276954109</v>
      </c>
      <c r="P75" s="3">
        <f t="shared" si="8"/>
        <v>270.70938508970266</v>
      </c>
      <c r="Q75" s="3">
        <f t="shared" si="9"/>
        <v>252.61823098890483</v>
      </c>
      <c r="R75">
        <f>IFERROR(_xlfn.XLOOKUP(A75,'2025 NOV'!A:A,'2025 NOV'!L:L),"NÃO TEM NA LISTA 2025")</f>
        <v>252.61823098890488</v>
      </c>
      <c r="S75" t="s">
        <v>374</v>
      </c>
      <c r="T75" t="s">
        <v>213</v>
      </c>
      <c r="U75" t="s">
        <v>213</v>
      </c>
      <c r="V75" t="s">
        <v>213</v>
      </c>
      <c r="W75" t="s">
        <v>213</v>
      </c>
      <c r="X75" t="s">
        <v>213</v>
      </c>
      <c r="Y75" t="s">
        <v>213</v>
      </c>
    </row>
    <row r="76" spans="1:25" x14ac:dyDescent="0.2">
      <c r="A76" t="s">
        <v>87</v>
      </c>
      <c r="B76" t="s">
        <v>200</v>
      </c>
      <c r="C76" t="s">
        <v>424</v>
      </c>
      <c r="D76" t="s">
        <v>126</v>
      </c>
      <c r="E76" t="s">
        <v>127</v>
      </c>
      <c r="F76" s="1">
        <v>0.15</v>
      </c>
      <c r="G76" s="1">
        <f>IF(Table1[[#This Row],[PPB]]="Sim",0.12,0.04)</f>
        <v>0.04</v>
      </c>
      <c r="K76" s="2" t="str" cm="1">
        <f t="array" ref="K7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76" s="3">
        <v>1116.5573916369513</v>
      </c>
      <c r="M76" s="3">
        <f t="shared" si="5"/>
        <v>1373.3655917134499</v>
      </c>
      <c r="N76" s="3">
        <f t="shared" si="6"/>
        <v>1339.8688699643415</v>
      </c>
      <c r="O76" s="3">
        <f t="shared" si="7"/>
        <v>1306.372148215233</v>
      </c>
      <c r="P76" s="3">
        <f t="shared" si="8"/>
        <v>1211.4647699260922</v>
      </c>
      <c r="Q76" s="3">
        <f t="shared" si="9"/>
        <v>1130.5041640233521</v>
      </c>
      <c r="R76">
        <f>IFERROR(_xlfn.XLOOKUP(A76,'2025 NOV'!A:A,'2025 NOV'!L:L),"NÃO TEM NA LISTA 2025")</f>
        <v>1130.5041640233551</v>
      </c>
      <c r="S76" t="s">
        <v>374</v>
      </c>
      <c r="T76" t="s">
        <v>213</v>
      </c>
      <c r="U76" t="s">
        <v>213</v>
      </c>
      <c r="V76" t="s">
        <v>213</v>
      </c>
      <c r="W76" t="s">
        <v>213</v>
      </c>
      <c r="X76" t="s">
        <v>213</v>
      </c>
      <c r="Y76" t="s">
        <v>213</v>
      </c>
    </row>
    <row r="77" spans="1:25" x14ac:dyDescent="0.2">
      <c r="A77" t="s">
        <v>88</v>
      </c>
      <c r="B77" t="s">
        <v>201</v>
      </c>
      <c r="C77" t="s">
        <v>424</v>
      </c>
      <c r="D77" t="s">
        <v>126</v>
      </c>
      <c r="E77" t="s">
        <v>127</v>
      </c>
      <c r="F77" s="1">
        <v>0.15</v>
      </c>
      <c r="G77" s="1">
        <f>IF(Table1[[#This Row],[PPB]]="Sim",0.12,0.04)</f>
        <v>0.04</v>
      </c>
      <c r="K77" s="2" t="str" cm="1">
        <f t="array" ref="K7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77" s="3">
        <v>871.04396600632526</v>
      </c>
      <c r="M77" s="3">
        <f t="shared" si="5"/>
        <v>1071.38407818778</v>
      </c>
      <c r="N77" s="3">
        <f t="shared" si="6"/>
        <v>1045.2527592075903</v>
      </c>
      <c r="O77" s="3">
        <f t="shared" si="7"/>
        <v>1019.1214402274005</v>
      </c>
      <c r="P77" s="3">
        <f t="shared" si="8"/>
        <v>945.08270311686283</v>
      </c>
      <c r="Q77" s="3">
        <f t="shared" si="9"/>
        <v>881.92406229463859</v>
      </c>
      <c r="R77" t="str">
        <f>IFERROR(_xlfn.XLOOKUP(A77,'2025 NOV'!A:A,'2025 NOV'!L:L),"NÃO TEM NA LISTA 2025")</f>
        <v>NÃO TEM NA LISTA 2025</v>
      </c>
      <c r="S77" t="s">
        <v>374</v>
      </c>
      <c r="T77" t="s">
        <v>213</v>
      </c>
      <c r="U77" t="s">
        <v>213</v>
      </c>
      <c r="V77" t="s">
        <v>213</v>
      </c>
      <c r="W77" t="s">
        <v>213</v>
      </c>
      <c r="X77" t="s">
        <v>213</v>
      </c>
      <c r="Y77" t="s">
        <v>213</v>
      </c>
    </row>
    <row r="78" spans="1:25" x14ac:dyDescent="0.2">
      <c r="A78" t="s">
        <v>89</v>
      </c>
      <c r="B78" t="s">
        <v>202</v>
      </c>
      <c r="C78" t="s">
        <v>424</v>
      </c>
      <c r="D78" t="s">
        <v>126</v>
      </c>
      <c r="E78" t="s">
        <v>127</v>
      </c>
      <c r="F78" s="1">
        <v>0.15</v>
      </c>
      <c r="G78" s="1">
        <f>IF(Table1[[#This Row],[PPB]]="Sim",0.12,0.04)</f>
        <v>0.04</v>
      </c>
      <c r="K78" s="2" t="str" cm="1">
        <f t="array" ref="K7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78" s="3">
        <v>964.83720301516257</v>
      </c>
      <c r="M78" s="3">
        <f t="shared" si="5"/>
        <v>1186.7497597086499</v>
      </c>
      <c r="N78" s="3">
        <f t="shared" si="6"/>
        <v>1157.8046436181951</v>
      </c>
      <c r="O78" s="3">
        <f t="shared" si="7"/>
        <v>1128.8595275277401</v>
      </c>
      <c r="P78" s="3">
        <f t="shared" si="8"/>
        <v>1046.8483652714513</v>
      </c>
      <c r="Q78" s="3">
        <f t="shared" si="9"/>
        <v>976.88885836326438</v>
      </c>
      <c r="R78">
        <f>IFERROR(_xlfn.XLOOKUP(A78,'2025 NOV'!A:A,'2025 NOV'!L:L),"NÃO TEM NA LISTA 2025")</f>
        <v>0</v>
      </c>
      <c r="S78" t="s">
        <v>374</v>
      </c>
      <c r="T78" t="s">
        <v>213</v>
      </c>
      <c r="U78" t="s">
        <v>213</v>
      </c>
      <c r="V78" t="s">
        <v>213</v>
      </c>
      <c r="W78" t="s">
        <v>213</v>
      </c>
      <c r="X78" t="s">
        <v>213</v>
      </c>
      <c r="Y78" t="s">
        <v>213</v>
      </c>
    </row>
    <row r="79" spans="1:25" x14ac:dyDescent="0.2">
      <c r="A79" t="s">
        <v>90</v>
      </c>
      <c r="B79" t="s">
        <v>203</v>
      </c>
      <c r="C79" t="s">
        <v>424</v>
      </c>
      <c r="D79" t="s">
        <v>126</v>
      </c>
      <c r="E79" t="s">
        <v>127</v>
      </c>
      <c r="F79" s="1">
        <v>0.15</v>
      </c>
      <c r="G79" s="1">
        <f>IF(Table1[[#This Row],[PPB]]="Sim",0.12,0.04)</f>
        <v>0.04</v>
      </c>
      <c r="K79" s="2" t="str" cm="1">
        <f t="array" ref="K7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79" s="3">
        <v>290.22783064971708</v>
      </c>
      <c r="M79" s="3">
        <f t="shared" si="5"/>
        <v>356.980231699152</v>
      </c>
      <c r="N79" s="3">
        <f t="shared" si="6"/>
        <v>348.27339677966046</v>
      </c>
      <c r="O79" s="3">
        <f t="shared" si="7"/>
        <v>339.56656186016897</v>
      </c>
      <c r="P79" s="3">
        <f t="shared" si="8"/>
        <v>314.89719625494303</v>
      </c>
      <c r="Q79" s="3">
        <f t="shared" si="9"/>
        <v>293.8530285343831</v>
      </c>
      <c r="R79">
        <f>IFERROR(_xlfn.XLOOKUP(A79,'2025 NOV'!A:A,'2025 NOV'!L:L),"NÃO TEM NA LISTA 2025")</f>
        <v>293.85302853438321</v>
      </c>
      <c r="S79" t="s">
        <v>374</v>
      </c>
      <c r="T79" t="s">
        <v>213</v>
      </c>
      <c r="U79" t="s">
        <v>213</v>
      </c>
      <c r="V79" t="s">
        <v>213</v>
      </c>
      <c r="W79" t="s">
        <v>213</v>
      </c>
      <c r="X79" t="s">
        <v>213</v>
      </c>
      <c r="Y79" t="s">
        <v>213</v>
      </c>
    </row>
    <row r="80" spans="1:25" x14ac:dyDescent="0.2">
      <c r="A80" t="s">
        <v>91</v>
      </c>
      <c r="B80" t="s">
        <v>204</v>
      </c>
      <c r="C80" t="s">
        <v>424</v>
      </c>
      <c r="D80" t="s">
        <v>126</v>
      </c>
      <c r="E80" t="s">
        <v>127</v>
      </c>
      <c r="F80" s="1">
        <v>0.15</v>
      </c>
      <c r="G80" s="1">
        <f>IF(Table1[[#This Row],[PPB]]="Sim",0.12,0.04)</f>
        <v>0.04</v>
      </c>
      <c r="K80" s="2" t="str" cm="1">
        <f t="array" ref="K8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80" s="3">
        <v>14.842960231691707</v>
      </c>
      <c r="M80" s="3">
        <f t="shared" si="5"/>
        <v>18.256841084980799</v>
      </c>
      <c r="N80" s="3">
        <f t="shared" si="6"/>
        <v>17.811552278030049</v>
      </c>
      <c r="O80" s="3">
        <f t="shared" si="7"/>
        <v>17.366263471079296</v>
      </c>
      <c r="P80" s="3">
        <f t="shared" si="8"/>
        <v>16.104611851385503</v>
      </c>
      <c r="Q80" s="3">
        <f t="shared" si="9"/>
        <v>15.028361707193392</v>
      </c>
      <c r="R80">
        <f>IFERROR(_xlfn.XLOOKUP(A80,'2025 NOV'!A:A,'2025 NOV'!L:L),"NÃO TEM NA LISTA 2025")</f>
        <v>15.028361707193421</v>
      </c>
      <c r="S80" t="s">
        <v>374</v>
      </c>
      <c r="T80" t="s">
        <v>213</v>
      </c>
      <c r="U80" t="s">
        <v>213</v>
      </c>
      <c r="V80" t="s">
        <v>213</v>
      </c>
      <c r="W80" t="s">
        <v>213</v>
      </c>
      <c r="X80" t="s">
        <v>213</v>
      </c>
      <c r="Y80" t="s">
        <v>213</v>
      </c>
    </row>
    <row r="81" spans="1:25" x14ac:dyDescent="0.2">
      <c r="A81" t="s">
        <v>92</v>
      </c>
      <c r="B81" t="s">
        <v>205</v>
      </c>
      <c r="C81" t="s">
        <v>424</v>
      </c>
      <c r="D81" t="s">
        <v>126</v>
      </c>
      <c r="E81" t="s">
        <v>127</v>
      </c>
      <c r="F81" s="1">
        <v>0.15</v>
      </c>
      <c r="G81" s="1">
        <f>IF(Table1[[#This Row],[PPB]]="Sim",0.12,0.04)</f>
        <v>0.04</v>
      </c>
      <c r="K81" s="2" t="str" cm="1">
        <f t="array" ref="K8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81" s="3">
        <v>119.40802175302683</v>
      </c>
      <c r="M81" s="3">
        <f t="shared" si="5"/>
        <v>146.871866756223</v>
      </c>
      <c r="N81" s="3">
        <f t="shared" si="6"/>
        <v>143.2896261036322</v>
      </c>
      <c r="O81" s="3">
        <f t="shared" si="7"/>
        <v>139.70738545104138</v>
      </c>
      <c r="P81" s="3">
        <f t="shared" si="8"/>
        <v>129.55770360203411</v>
      </c>
      <c r="Q81" s="3">
        <f t="shared" si="9"/>
        <v>120.89953173986085</v>
      </c>
      <c r="R81">
        <f>IFERROR(_xlfn.XLOOKUP(A81,'2025 NOV'!A:A,'2025 NOV'!L:L),"NÃO TEM NA LISTA 2025")</f>
        <v>120.89953173986055</v>
      </c>
      <c r="S81" t="s">
        <v>374</v>
      </c>
      <c r="T81" t="s">
        <v>213</v>
      </c>
      <c r="U81" t="s">
        <v>213</v>
      </c>
      <c r="V81" t="s">
        <v>213</v>
      </c>
      <c r="W81" t="s">
        <v>213</v>
      </c>
      <c r="X81" t="s">
        <v>213</v>
      </c>
      <c r="Y81" t="s">
        <v>213</v>
      </c>
    </row>
    <row r="82" spans="1:25" x14ac:dyDescent="0.2">
      <c r="A82" t="s">
        <v>93</v>
      </c>
      <c r="B82" t="s">
        <v>206</v>
      </c>
      <c r="C82" t="s">
        <v>424</v>
      </c>
      <c r="D82" t="s">
        <v>126</v>
      </c>
      <c r="E82" t="s">
        <v>127</v>
      </c>
      <c r="F82" s="1">
        <v>0.15</v>
      </c>
      <c r="G82" s="1">
        <f>IF(Table1[[#This Row],[PPB]]="Sim",0.12,0.04)</f>
        <v>0.04</v>
      </c>
      <c r="K82" s="2" t="str" cm="1">
        <f t="array" ref="K8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82" s="3">
        <v>127.28563429923335</v>
      </c>
      <c r="M82" s="3">
        <f t="shared" si="5"/>
        <v>156.56133018805701</v>
      </c>
      <c r="N82" s="3">
        <f t="shared" si="6"/>
        <v>152.74276115908</v>
      </c>
      <c r="O82" s="3">
        <f t="shared" si="7"/>
        <v>148.92419213010302</v>
      </c>
      <c r="P82" s="3">
        <f t="shared" si="8"/>
        <v>138.10491321466819</v>
      </c>
      <c r="Q82" s="3">
        <f t="shared" si="9"/>
        <v>128.87554251436546</v>
      </c>
      <c r="R82">
        <f>IFERROR(_xlfn.XLOOKUP(A82,'2025 NOV'!A:A,'2025 NOV'!L:L),"NÃO TEM NA LISTA 2025")</f>
        <v>128.87554251436526</v>
      </c>
      <c r="S82" t="s">
        <v>374</v>
      </c>
      <c r="T82" t="s">
        <v>213</v>
      </c>
      <c r="U82" t="s">
        <v>213</v>
      </c>
      <c r="V82" t="s">
        <v>213</v>
      </c>
      <c r="W82" t="s">
        <v>213</v>
      </c>
      <c r="X82" t="s">
        <v>213</v>
      </c>
      <c r="Y82" t="s">
        <v>213</v>
      </c>
    </row>
    <row r="83" spans="1:25" x14ac:dyDescent="0.2">
      <c r="A83" t="s">
        <v>94</v>
      </c>
      <c r="B83" t="s">
        <v>207</v>
      </c>
      <c r="C83" t="s">
        <v>424</v>
      </c>
      <c r="D83" t="s">
        <v>126</v>
      </c>
      <c r="E83" t="s">
        <v>127</v>
      </c>
      <c r="F83" s="1">
        <v>0.15</v>
      </c>
      <c r="G83" s="1">
        <f>IF(Table1[[#This Row],[PPB]]="Sim",0.12,0.04)</f>
        <v>0.04</v>
      </c>
      <c r="K83" s="2" t="str" cm="1">
        <f t="array" ref="K8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83" s="3">
        <v>114.43268751331706</v>
      </c>
      <c r="M83" s="3">
        <f t="shared" si="5"/>
        <v>140.75220564137999</v>
      </c>
      <c r="N83" s="3">
        <f t="shared" si="6"/>
        <v>137.31922501598046</v>
      </c>
      <c r="O83" s="3">
        <f t="shared" si="7"/>
        <v>133.88624439058097</v>
      </c>
      <c r="P83" s="3">
        <f t="shared" si="8"/>
        <v>124.15946595194902</v>
      </c>
      <c r="Q83" s="3">
        <f t="shared" si="9"/>
        <v>115.86205125069966</v>
      </c>
      <c r="R83">
        <f>IFERROR(_xlfn.XLOOKUP(A83,'2025 NOV'!A:A,'2025 NOV'!L:L),"NÃO TEM NA LISTA 2025")</f>
        <v>115.86205125069969</v>
      </c>
      <c r="S83" t="s">
        <v>374</v>
      </c>
      <c r="T83" t="s">
        <v>213</v>
      </c>
      <c r="U83" t="s">
        <v>213</v>
      </c>
      <c r="V83" t="s">
        <v>213</v>
      </c>
      <c r="W83" t="s">
        <v>213</v>
      </c>
      <c r="X83" t="s">
        <v>213</v>
      </c>
      <c r="Y83" t="s">
        <v>213</v>
      </c>
    </row>
    <row r="84" spans="1:25" x14ac:dyDescent="0.2">
      <c r="A84" t="s">
        <v>95</v>
      </c>
      <c r="B84" t="s">
        <v>208</v>
      </c>
      <c r="C84" t="s">
        <v>424</v>
      </c>
      <c r="D84" t="s">
        <v>126</v>
      </c>
      <c r="E84" t="s">
        <v>127</v>
      </c>
      <c r="F84" s="1">
        <v>0.15</v>
      </c>
      <c r="G84" s="1">
        <f>IF(Table1[[#This Row],[PPB]]="Sim",0.12,0.04)</f>
        <v>0.04</v>
      </c>
      <c r="K84" s="2" t="str" cm="1">
        <f t="array" ref="K8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84" s="3">
        <v>130.08311066498294</v>
      </c>
      <c r="M84" s="3">
        <f t="shared" si="5"/>
        <v>160.00222611792901</v>
      </c>
      <c r="N84" s="3">
        <f t="shared" si="6"/>
        <v>156.09973279797953</v>
      </c>
      <c r="O84" s="3">
        <f t="shared" si="7"/>
        <v>152.19723947803004</v>
      </c>
      <c r="P84" s="3">
        <f t="shared" si="8"/>
        <v>141.14017507150649</v>
      </c>
      <c r="Q84" s="3">
        <f t="shared" si="9"/>
        <v>131.70796179162292</v>
      </c>
      <c r="R84" t="str">
        <f>IFERROR(_xlfn.XLOOKUP(A84,'2025 NOV'!A:A,'2025 NOV'!L:L),"NÃO TEM NA LISTA 2025")</f>
        <v>NÃO TEM NA LISTA 2025</v>
      </c>
      <c r="S84" t="s">
        <v>374</v>
      </c>
      <c r="T84" t="s">
        <v>213</v>
      </c>
      <c r="U84" t="s">
        <v>213</v>
      </c>
      <c r="V84" t="s">
        <v>213</v>
      </c>
      <c r="W84" t="s">
        <v>213</v>
      </c>
      <c r="X84" t="s">
        <v>213</v>
      </c>
      <c r="Y84" t="s">
        <v>213</v>
      </c>
    </row>
    <row r="85" spans="1:25" x14ac:dyDescent="0.2">
      <c r="A85" t="s">
        <v>96</v>
      </c>
      <c r="B85" t="s">
        <v>209</v>
      </c>
      <c r="C85" t="s">
        <v>402</v>
      </c>
      <c r="D85" t="s">
        <v>126</v>
      </c>
      <c r="E85" t="s">
        <v>127</v>
      </c>
      <c r="F85" s="1">
        <v>9.7500000000000003E-2</v>
      </c>
      <c r="G85" s="1">
        <f>IF(Table1[[#This Row],[PPB]]="Sim",0.12,0.04)</f>
        <v>0.04</v>
      </c>
      <c r="K85" s="2" t="str" cm="1">
        <f t="array" ref="K8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85" s="3">
        <v>65.418869622999836</v>
      </c>
      <c r="M85" s="3">
        <f t="shared" si="5"/>
        <v>80.465209636289799</v>
      </c>
      <c r="N85" s="3">
        <f t="shared" si="6"/>
        <v>78.502643547599803</v>
      </c>
      <c r="O85" s="3">
        <f t="shared" si="7"/>
        <v>76.540077458909806</v>
      </c>
      <c r="P85" s="3">
        <f t="shared" si="8"/>
        <v>70.979473540954814</v>
      </c>
      <c r="Q85" s="3">
        <f t="shared" si="9"/>
        <v>66.236008169787823</v>
      </c>
      <c r="R85">
        <f>IFERROR(_xlfn.XLOOKUP(A85,'2025 NOV'!A:A,'2025 NOV'!L:L),"NÃO TEM NA LISTA 2025")</f>
        <v>66.236008169787823</v>
      </c>
      <c r="S85" t="s">
        <v>375</v>
      </c>
      <c r="T85" t="s">
        <v>213</v>
      </c>
      <c r="U85" t="s">
        <v>213</v>
      </c>
      <c r="V85" t="s">
        <v>213</v>
      </c>
      <c r="W85" t="s">
        <v>213</v>
      </c>
      <c r="X85" t="s">
        <v>213</v>
      </c>
      <c r="Y85" t="s">
        <v>213</v>
      </c>
    </row>
    <row r="86" spans="1:25" x14ac:dyDescent="0.2">
      <c r="A86" t="s">
        <v>97</v>
      </c>
      <c r="B86" t="s">
        <v>210</v>
      </c>
      <c r="C86" t="s">
        <v>402</v>
      </c>
      <c r="D86" t="s">
        <v>126</v>
      </c>
      <c r="E86" t="s">
        <v>127</v>
      </c>
      <c r="F86" s="1">
        <v>9.7500000000000003E-2</v>
      </c>
      <c r="G86" s="1">
        <f>IF(Table1[[#This Row],[PPB]]="Sim",0.12,0.04)</f>
        <v>0.04</v>
      </c>
      <c r="H86" s="1" t="s">
        <v>421</v>
      </c>
      <c r="I86" s="1" t="s">
        <v>434</v>
      </c>
      <c r="J86" s="1" t="s">
        <v>391</v>
      </c>
      <c r="K86" s="2" cm="1">
        <f t="array" ref="K8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9.0899999999999995E-2</v>
      </c>
      <c r="L86" s="3">
        <v>45.765072774295447</v>
      </c>
      <c r="M86" s="3">
        <f t="shared" si="5"/>
        <v>56.291039512383399</v>
      </c>
      <c r="N86" s="3">
        <f t="shared" si="6"/>
        <v>54.918087329154538</v>
      </c>
      <c r="O86" s="3">
        <f t="shared" si="7"/>
        <v>53.54513514592567</v>
      </c>
      <c r="P86" s="3">
        <f t="shared" si="8"/>
        <v>49.655103960110559</v>
      </c>
      <c r="Q86" s="3">
        <f t="shared" si="9"/>
        <v>46.336718314426989</v>
      </c>
      <c r="R86">
        <f>IFERROR(_xlfn.XLOOKUP(A86,'2025 NOV'!A:A,'2025 NOV'!L:L),"NÃO TEM NA LISTA 2025")</f>
        <v>46.336718314426975</v>
      </c>
      <c r="S86" t="s">
        <v>375</v>
      </c>
      <c r="T86" t="s">
        <v>213</v>
      </c>
      <c r="U86" t="s">
        <v>213</v>
      </c>
      <c r="V86" t="s">
        <v>213</v>
      </c>
      <c r="W86" t="s">
        <v>213</v>
      </c>
      <c r="X86" t="s">
        <v>213</v>
      </c>
      <c r="Y86" t="s">
        <v>213</v>
      </c>
    </row>
    <row r="87" spans="1:25" x14ac:dyDescent="0.2">
      <c r="A87" t="s">
        <v>98</v>
      </c>
      <c r="B87" t="s">
        <v>211</v>
      </c>
      <c r="C87" t="s">
        <v>402</v>
      </c>
      <c r="D87" t="s">
        <v>126</v>
      </c>
      <c r="E87" t="s">
        <v>127</v>
      </c>
      <c r="F87" s="1">
        <v>9.7500000000000003E-2</v>
      </c>
      <c r="G87" s="1">
        <f>IF(Table1[[#This Row],[PPB]]="Sim",0.12,0.04)</f>
        <v>0.04</v>
      </c>
      <c r="K87" s="2" t="str" cm="1">
        <f t="array" ref="K8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87" s="3">
        <v>59.397222111319593</v>
      </c>
      <c r="M87" s="3">
        <f t="shared" si="5"/>
        <v>73.058583196923095</v>
      </c>
      <c r="N87" s="3">
        <f t="shared" si="6"/>
        <v>71.276666533583509</v>
      </c>
      <c r="O87" s="3">
        <f t="shared" si="7"/>
        <v>69.494749870243922</v>
      </c>
      <c r="P87" s="3">
        <f t="shared" si="8"/>
        <v>64.445985990781764</v>
      </c>
      <c r="Q87" s="3">
        <f t="shared" si="9"/>
        <v>60.139145046383931</v>
      </c>
      <c r="R87">
        <f>IFERROR(_xlfn.XLOOKUP(A87,'2025 NOV'!A:A,'2025 NOV'!L:L),"NÃO TEM NA LISTA 2025")</f>
        <v>60.139145046383938</v>
      </c>
      <c r="S87" t="s">
        <v>375</v>
      </c>
      <c r="T87" t="s">
        <v>213</v>
      </c>
      <c r="U87" t="s">
        <v>213</v>
      </c>
      <c r="V87" t="s">
        <v>213</v>
      </c>
      <c r="W87" t="s">
        <v>213</v>
      </c>
      <c r="X87" t="s">
        <v>213</v>
      </c>
      <c r="Y87" t="s">
        <v>213</v>
      </c>
    </row>
    <row r="88" spans="1:25" x14ac:dyDescent="0.2">
      <c r="A88" t="s">
        <v>99</v>
      </c>
      <c r="B88" t="s">
        <v>212</v>
      </c>
      <c r="C88" t="s">
        <v>402</v>
      </c>
      <c r="D88" t="s">
        <v>126</v>
      </c>
      <c r="E88" t="s">
        <v>213</v>
      </c>
      <c r="F88" s="1">
        <v>9.7500000000000003E-2</v>
      </c>
      <c r="G88" s="1">
        <f>IF(Table1[[#This Row],[PPB]]="Sim",0.12,0.04)</f>
        <v>0.04</v>
      </c>
      <c r="K88" s="2" t="str" cm="1">
        <f t="array" ref="K8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88" s="3">
        <v>8.4345952563776425</v>
      </c>
      <c r="M88" s="3">
        <f t="shared" si="5"/>
        <v>10.3745521653445</v>
      </c>
      <c r="N88" s="3">
        <f t="shared" si="6"/>
        <v>10.12151430765317</v>
      </c>
      <c r="O88" s="3">
        <f t="shared" si="7"/>
        <v>9.8684764499618414</v>
      </c>
      <c r="P88" s="3">
        <f t="shared" si="8"/>
        <v>9.1515358531697419</v>
      </c>
      <c r="Q88" s="3">
        <f t="shared" si="9"/>
        <v>8.5399506828816509</v>
      </c>
      <c r="R88">
        <f>IFERROR(_xlfn.XLOOKUP(A88,'2025 NOV'!A:A,'2025 NOV'!L:L),"NÃO TEM NA LISTA 2025")</f>
        <v>8.5399506828816207</v>
      </c>
      <c r="S88" t="s">
        <v>375</v>
      </c>
      <c r="T88" t="s">
        <v>213</v>
      </c>
      <c r="U88" t="s">
        <v>213</v>
      </c>
      <c r="V88" t="s">
        <v>213</v>
      </c>
      <c r="W88" t="s">
        <v>213</v>
      </c>
      <c r="X88" t="s">
        <v>213</v>
      </c>
      <c r="Y88" t="s">
        <v>213</v>
      </c>
    </row>
    <row r="89" spans="1:25" x14ac:dyDescent="0.2">
      <c r="A89" t="s">
        <v>100</v>
      </c>
      <c r="B89" t="s">
        <v>214</v>
      </c>
      <c r="C89" t="s">
        <v>402</v>
      </c>
      <c r="D89" t="s">
        <v>126</v>
      </c>
      <c r="E89" t="s">
        <v>127</v>
      </c>
      <c r="F89" s="1">
        <v>9.7500000000000003E-2</v>
      </c>
      <c r="G89" s="1">
        <f>IF(Table1[[#This Row],[PPB]]="Sim",0.12,0.04)</f>
        <v>0.04</v>
      </c>
      <c r="H89" s="1" t="s">
        <v>416</v>
      </c>
      <c r="I89" s="1" t="s">
        <v>434</v>
      </c>
      <c r="J89" s="1" t="s">
        <v>391</v>
      </c>
      <c r="K89" s="2" cm="1">
        <f t="array" ref="K8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0</v>
      </c>
      <c r="L89" s="3">
        <v>120.74189412792846</v>
      </c>
      <c r="M89" s="3">
        <f t="shared" si="5"/>
        <v>148.512529777352</v>
      </c>
      <c r="N89" s="3">
        <f t="shared" si="6"/>
        <v>144.89027295351414</v>
      </c>
      <c r="O89" s="3">
        <f t="shared" si="7"/>
        <v>141.26801612967628</v>
      </c>
      <c r="P89" s="3">
        <f t="shared" si="8"/>
        <v>131.00495512880238</v>
      </c>
      <c r="Q89" s="3">
        <f t="shared" si="9"/>
        <v>122.25006534019039</v>
      </c>
      <c r="R89">
        <f>IFERROR(_xlfn.XLOOKUP(A89,'2025 NOV'!A:A,'2025 NOV'!L:L),"NÃO TEM NA LISTA 2025")</f>
        <v>122.25006534019029</v>
      </c>
      <c r="S89" t="s">
        <v>375</v>
      </c>
      <c r="T89" t="s">
        <v>213</v>
      </c>
      <c r="U89" t="s">
        <v>213</v>
      </c>
      <c r="V89" t="s">
        <v>213</v>
      </c>
      <c r="W89" t="s">
        <v>213</v>
      </c>
      <c r="X89" t="s">
        <v>213</v>
      </c>
      <c r="Y89" t="s">
        <v>213</v>
      </c>
    </row>
    <row r="90" spans="1:25" x14ac:dyDescent="0.2">
      <c r="A90" t="s">
        <v>101</v>
      </c>
      <c r="B90" t="s">
        <v>215</v>
      </c>
      <c r="C90" t="s">
        <v>402</v>
      </c>
      <c r="D90" t="s">
        <v>126</v>
      </c>
      <c r="E90" t="s">
        <v>213</v>
      </c>
      <c r="F90" s="1">
        <v>9.7500000000000003E-2</v>
      </c>
      <c r="G90" s="1">
        <f>IF(Table1[[#This Row],[PPB]]="Sim",0.12,0.04)</f>
        <v>0.04</v>
      </c>
      <c r="K90" s="2" t="str" cm="1">
        <f t="array" ref="K9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0" s="3">
        <v>7.7011521906056428</v>
      </c>
      <c r="M90" s="3">
        <f t="shared" si="5"/>
        <v>9.4724171944449402</v>
      </c>
      <c r="N90" s="3">
        <f t="shared" si="6"/>
        <v>9.2413826287267717</v>
      </c>
      <c r="O90" s="3">
        <f t="shared" si="7"/>
        <v>9.0103480630086015</v>
      </c>
      <c r="P90" s="3">
        <f t="shared" si="8"/>
        <v>8.3557501268071217</v>
      </c>
      <c r="Q90" s="3">
        <f t="shared" si="9"/>
        <v>7.7973462756745198</v>
      </c>
      <c r="R90">
        <f>IFERROR(_xlfn.XLOOKUP(A90,'2025 NOV'!A:A,'2025 NOV'!L:L),"NÃO TEM NA LISTA 2025")</f>
        <v>7.7973462756745233</v>
      </c>
      <c r="S90" t="s">
        <v>375</v>
      </c>
      <c r="T90" t="s">
        <v>213</v>
      </c>
      <c r="U90" t="s">
        <v>213</v>
      </c>
      <c r="V90" t="s">
        <v>213</v>
      </c>
      <c r="W90" t="s">
        <v>213</v>
      </c>
      <c r="X90" t="s">
        <v>213</v>
      </c>
      <c r="Y90" t="s">
        <v>213</v>
      </c>
    </row>
    <row r="91" spans="1:25" x14ac:dyDescent="0.2">
      <c r="A91" s="13" t="s">
        <v>102</v>
      </c>
      <c r="B91" t="s">
        <v>216</v>
      </c>
      <c r="C91" t="s">
        <v>402</v>
      </c>
      <c r="D91" t="s">
        <v>126</v>
      </c>
      <c r="E91" t="s">
        <v>213</v>
      </c>
      <c r="F91" s="1">
        <v>9.7500000000000003E-2</v>
      </c>
      <c r="G91" s="1">
        <f>IF(Table1[[#This Row],[PPB]]="Sim",0.12,0.04)</f>
        <v>0.04</v>
      </c>
      <c r="K91" s="2" t="str" cm="1">
        <f t="array" ref="K9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1" s="3">
        <v>8.4538084574172352</v>
      </c>
      <c r="M91" s="3">
        <f t="shared" si="5"/>
        <v>10.398184402623199</v>
      </c>
      <c r="N91" s="3">
        <f t="shared" si="6"/>
        <v>10.144570148900682</v>
      </c>
      <c r="O91" s="3">
        <f t="shared" si="7"/>
        <v>9.8909558951781644</v>
      </c>
      <c r="P91" s="3">
        <f t="shared" si="8"/>
        <v>9.1723821762976989</v>
      </c>
      <c r="Q91" s="3">
        <f t="shared" si="9"/>
        <v>8.5594038735032587</v>
      </c>
      <c r="R91" t="str">
        <f>IFERROR(_xlfn.XLOOKUP(A91,'2025 NOV'!A:A,'2025 NOV'!L:L),"NÃO TEM NA LISTA 2025")</f>
        <v>NÃO TEM NA LISTA 2025</v>
      </c>
      <c r="S91" t="s">
        <v>375</v>
      </c>
      <c r="T91" t="s">
        <v>213</v>
      </c>
      <c r="U91" t="s">
        <v>213</v>
      </c>
      <c r="V91" t="s">
        <v>213</v>
      </c>
      <c r="W91" t="s">
        <v>213</v>
      </c>
      <c r="X91" t="s">
        <v>213</v>
      </c>
      <c r="Y91" t="s">
        <v>213</v>
      </c>
    </row>
    <row r="92" spans="1:25" x14ac:dyDescent="0.2">
      <c r="A92" t="s">
        <v>103</v>
      </c>
      <c r="B92" t="s">
        <v>217</v>
      </c>
      <c r="C92" t="s">
        <v>429</v>
      </c>
      <c r="D92" t="s">
        <v>190</v>
      </c>
      <c r="E92" t="s">
        <v>127</v>
      </c>
      <c r="F92" s="1">
        <v>0.15</v>
      </c>
      <c r="G92" s="1">
        <f>IF(Table1[[#This Row],[PPB]]="Sim",0.12,0.04)</f>
        <v>0.12</v>
      </c>
      <c r="K92" s="2" t="str" cm="1">
        <f t="array" ref="K9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2" s="3">
        <v>186.29011160965771</v>
      </c>
      <c r="M92" s="3">
        <f t="shared" si="5"/>
        <v>229.13683727987899</v>
      </c>
      <c r="N92" s="3">
        <f t="shared" si="6"/>
        <v>223.54813393158926</v>
      </c>
      <c r="O92" s="3">
        <f t="shared" si="7"/>
        <v>217.95943058329951</v>
      </c>
      <c r="P92" s="3">
        <f t="shared" si="8"/>
        <v>202.12477109647861</v>
      </c>
      <c r="Q92" s="3">
        <f t="shared" si="9"/>
        <v>188.61703703589848</v>
      </c>
      <c r="R92">
        <f>IFERROR(_xlfn.XLOOKUP(A92,'2025 NOV'!A:A,'2025 NOV'!L:L),"NÃO TEM NA LISTA 2025")</f>
        <v>188.61703703589853</v>
      </c>
      <c r="S92" t="s">
        <v>376</v>
      </c>
      <c r="T92" t="s">
        <v>213</v>
      </c>
      <c r="U92">
        <v>7</v>
      </c>
      <c r="V92" t="s">
        <v>213</v>
      </c>
      <c r="W92" t="s">
        <v>213</v>
      </c>
      <c r="X92" t="s">
        <v>213</v>
      </c>
      <c r="Y92" t="s">
        <v>213</v>
      </c>
    </row>
    <row r="93" spans="1:25" x14ac:dyDescent="0.2">
      <c r="A93" t="s">
        <v>104</v>
      </c>
      <c r="B93" t="s">
        <v>218</v>
      </c>
      <c r="C93" t="s">
        <v>429</v>
      </c>
      <c r="D93" t="s">
        <v>190</v>
      </c>
      <c r="E93" t="s">
        <v>127</v>
      </c>
      <c r="F93" s="1">
        <v>0.15</v>
      </c>
      <c r="G93" s="1">
        <f>IF(Table1[[#This Row],[PPB]]="Sim",0.12,0.04)</f>
        <v>0.12</v>
      </c>
      <c r="K93" s="2" t="str" cm="1">
        <f t="array" ref="K9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3" s="3">
        <v>129.48950188645691</v>
      </c>
      <c r="M93" s="3">
        <f t="shared" si="5"/>
        <v>159.272087320342</v>
      </c>
      <c r="N93" s="3">
        <f t="shared" si="6"/>
        <v>155.38740226374827</v>
      </c>
      <c r="O93" s="3">
        <f t="shared" si="7"/>
        <v>151.50271720715457</v>
      </c>
      <c r="P93" s="3">
        <f t="shared" si="8"/>
        <v>140.49610954680574</v>
      </c>
      <c r="Q93" s="3">
        <f t="shared" si="9"/>
        <v>131.10693832346007</v>
      </c>
      <c r="R93">
        <f>IFERROR(_xlfn.XLOOKUP(A93,'2025 NOV'!A:A,'2025 NOV'!L:L),"NÃO TEM NA LISTA 2025")</f>
        <v>131.10693832346041</v>
      </c>
      <c r="S93" t="s">
        <v>376</v>
      </c>
      <c r="T93" t="s">
        <v>213</v>
      </c>
      <c r="U93">
        <v>7</v>
      </c>
      <c r="V93" t="s">
        <v>213</v>
      </c>
      <c r="W93" t="s">
        <v>213</v>
      </c>
      <c r="X93" t="s">
        <v>213</v>
      </c>
      <c r="Y93" t="s">
        <v>213</v>
      </c>
    </row>
    <row r="94" spans="1:25" x14ac:dyDescent="0.2">
      <c r="A94" t="s">
        <v>105</v>
      </c>
      <c r="B94" t="s">
        <v>219</v>
      </c>
      <c r="C94" t="s">
        <v>429</v>
      </c>
      <c r="D94" t="s">
        <v>190</v>
      </c>
      <c r="E94" t="s">
        <v>127</v>
      </c>
      <c r="F94" s="1">
        <v>0.15</v>
      </c>
      <c r="G94" s="1">
        <f>IF(Table1[[#This Row],[PPB]]="Sim",0.12,0.04)</f>
        <v>0.12</v>
      </c>
      <c r="H94" s="1" t="s">
        <v>421</v>
      </c>
      <c r="I94" s="1" t="s">
        <v>434</v>
      </c>
      <c r="J94" s="1" t="s">
        <v>392</v>
      </c>
      <c r="K94" s="2" cm="1">
        <f t="array" ref="K9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0.06</v>
      </c>
      <c r="L94" s="3">
        <v>187.90599598680407</v>
      </c>
      <c r="M94" s="3">
        <f t="shared" si="5"/>
        <v>231.12437506376901</v>
      </c>
      <c r="N94" s="3">
        <f t="shared" si="6"/>
        <v>225.48719518416488</v>
      </c>
      <c r="O94" s="3">
        <f t="shared" si="7"/>
        <v>219.85001530456074</v>
      </c>
      <c r="P94" s="3">
        <f t="shared" si="8"/>
        <v>203.87800564568241</v>
      </c>
      <c r="Q94" s="3">
        <f t="shared" si="9"/>
        <v>190.25310521351906</v>
      </c>
      <c r="R94">
        <f>IFERROR(_xlfn.XLOOKUP(A94,'2025 NOV'!A:A,'2025 NOV'!L:L),"NÃO TEM NA LISTA 2025")</f>
        <v>190.25715924032028</v>
      </c>
      <c r="S94" t="s">
        <v>376</v>
      </c>
      <c r="T94" t="s">
        <v>213</v>
      </c>
      <c r="U94">
        <v>10.1</v>
      </c>
      <c r="V94" t="s">
        <v>213</v>
      </c>
      <c r="W94" t="s">
        <v>213</v>
      </c>
      <c r="X94" t="s">
        <v>213</v>
      </c>
      <c r="Y94" t="s">
        <v>213</v>
      </c>
    </row>
    <row r="95" spans="1:25" x14ac:dyDescent="0.2">
      <c r="A95" t="s">
        <v>106</v>
      </c>
      <c r="B95" t="s">
        <v>220</v>
      </c>
      <c r="C95" t="s">
        <v>429</v>
      </c>
      <c r="D95" t="s">
        <v>190</v>
      </c>
      <c r="E95" t="s">
        <v>127</v>
      </c>
      <c r="F95" s="1">
        <v>0.15</v>
      </c>
      <c r="G95" s="1">
        <f>IF(Table1[[#This Row],[PPB]]="Sim",0.12,0.04)</f>
        <v>0.12</v>
      </c>
      <c r="K95" s="2" t="str" cm="1">
        <f t="array" ref="K9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5" s="3">
        <v>146.94378924919593</v>
      </c>
      <c r="M95" s="3">
        <f t="shared" si="5"/>
        <v>180.740860776511</v>
      </c>
      <c r="N95" s="3">
        <f t="shared" si="6"/>
        <v>176.33254709903511</v>
      </c>
      <c r="O95" s="3">
        <f t="shared" si="7"/>
        <v>171.92423342155922</v>
      </c>
      <c r="P95" s="3">
        <f t="shared" si="8"/>
        <v>159.43401133537759</v>
      </c>
      <c r="Q95" s="3">
        <f t="shared" si="9"/>
        <v>148.77924490745747</v>
      </c>
      <c r="R95">
        <f>IFERROR(_xlfn.XLOOKUP(A95,'2025 NOV'!A:A,'2025 NOV'!L:L),"NÃO TEM NA LISTA 2025")</f>
        <v>148.77540832724526</v>
      </c>
      <c r="S95" t="s">
        <v>376</v>
      </c>
      <c r="T95" t="s">
        <v>213</v>
      </c>
      <c r="U95">
        <v>10.1</v>
      </c>
      <c r="V95" t="s">
        <v>213</v>
      </c>
      <c r="W95" t="s">
        <v>213</v>
      </c>
      <c r="X95" t="s">
        <v>213</v>
      </c>
      <c r="Y95" t="s">
        <v>213</v>
      </c>
    </row>
    <row r="96" spans="1:25" x14ac:dyDescent="0.2">
      <c r="A96" t="s">
        <v>107</v>
      </c>
      <c r="B96" t="s">
        <v>220</v>
      </c>
      <c r="C96" t="s">
        <v>429</v>
      </c>
      <c r="D96" t="s">
        <v>190</v>
      </c>
      <c r="E96" t="s">
        <v>127</v>
      </c>
      <c r="F96" s="1">
        <v>0.15</v>
      </c>
      <c r="G96" s="1">
        <f>IF(Table1[[#This Row],[PPB]]="Sim",0.12,0.04)</f>
        <v>0.12</v>
      </c>
      <c r="K96" s="2" t="str" cm="1">
        <f t="array" ref="K9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6" s="3">
        <v>169.2297408075886</v>
      </c>
      <c r="M96" s="3">
        <f t="shared" si="5"/>
        <v>208.15258119333399</v>
      </c>
      <c r="N96" s="3">
        <f t="shared" si="6"/>
        <v>203.07568896910632</v>
      </c>
      <c r="O96" s="3">
        <f t="shared" si="7"/>
        <v>197.99879674487866</v>
      </c>
      <c r="P96" s="3">
        <f t="shared" si="8"/>
        <v>183.61426877623364</v>
      </c>
      <c r="Q96" s="3">
        <f t="shared" si="9"/>
        <v>171.34356737282482</v>
      </c>
      <c r="R96" t="str">
        <f>IFERROR(_xlfn.XLOOKUP(A96,'2025 NOV'!A:A,'2025 NOV'!L:L),"NÃO TEM NA LISTA 2025")</f>
        <v>NÃO TEM NA LISTA 2025</v>
      </c>
      <c r="S96" t="s">
        <v>376</v>
      </c>
      <c r="T96" t="s">
        <v>213</v>
      </c>
      <c r="U96">
        <v>10.1</v>
      </c>
      <c r="V96" t="s">
        <v>213</v>
      </c>
      <c r="W96" t="s">
        <v>213</v>
      </c>
      <c r="X96" t="s">
        <v>213</v>
      </c>
      <c r="Y96" t="s">
        <v>213</v>
      </c>
    </row>
    <row r="97" spans="1:25" x14ac:dyDescent="0.2">
      <c r="A97" t="s">
        <v>108</v>
      </c>
      <c r="B97" t="s">
        <v>221</v>
      </c>
      <c r="C97" t="s">
        <v>429</v>
      </c>
      <c r="D97" t="s">
        <v>190</v>
      </c>
      <c r="E97" t="s">
        <v>127</v>
      </c>
      <c r="F97" s="1">
        <v>0.15</v>
      </c>
      <c r="G97" s="1">
        <f>IF(Table1[[#This Row],[PPB]]="Sim",0.12,0.04)</f>
        <v>0.12</v>
      </c>
      <c r="K97" s="2" t="str" cm="1">
        <f t="array" ref="K9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7" s="3">
        <v>275.07917104520078</v>
      </c>
      <c r="M97" s="3">
        <f t="shared" si="5"/>
        <v>338.34738038559698</v>
      </c>
      <c r="N97" s="3">
        <f t="shared" si="6"/>
        <v>330.0950052542409</v>
      </c>
      <c r="O97" s="3">
        <f t="shared" si="7"/>
        <v>321.84263012288488</v>
      </c>
      <c r="P97" s="3">
        <f t="shared" si="8"/>
        <v>298.46090058404286</v>
      </c>
      <c r="Q97" s="3">
        <f t="shared" si="9"/>
        <v>278.51514900347007</v>
      </c>
      <c r="R97">
        <f>IFERROR(_xlfn.XLOOKUP(A97,'2025 NOV'!A:A,'2025 NOV'!L:L),"NÃO TEM NA LISTA 2025")</f>
        <v>278.51514900347001</v>
      </c>
      <c r="S97" t="s">
        <v>376</v>
      </c>
      <c r="T97" t="s">
        <v>213</v>
      </c>
      <c r="U97">
        <v>15</v>
      </c>
      <c r="V97" t="s">
        <v>213</v>
      </c>
      <c r="W97" t="s">
        <v>213</v>
      </c>
      <c r="X97" t="s">
        <v>213</v>
      </c>
      <c r="Y97" t="s">
        <v>213</v>
      </c>
    </row>
    <row r="98" spans="1:25" x14ac:dyDescent="0.2">
      <c r="A98" t="s">
        <v>109</v>
      </c>
      <c r="B98" t="s">
        <v>222</v>
      </c>
      <c r="C98" t="s">
        <v>429</v>
      </c>
      <c r="D98" t="s">
        <v>190</v>
      </c>
      <c r="E98" t="s">
        <v>127</v>
      </c>
      <c r="F98" s="1">
        <v>0.15</v>
      </c>
      <c r="G98" s="1">
        <f>IF(Table1[[#This Row],[PPB]]="Sim",0.12,0.04)</f>
        <v>0.12</v>
      </c>
      <c r="K98" s="2" t="str" cm="1">
        <f t="array" ref="K9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8" s="3">
        <v>326.55</v>
      </c>
      <c r="M98" s="3">
        <f t="shared" si="5"/>
        <v>401.65649999999999</v>
      </c>
      <c r="N98" s="3">
        <f t="shared" si="6"/>
        <v>391.86</v>
      </c>
      <c r="O98" s="3">
        <f t="shared" si="7"/>
        <v>382.06349999999998</v>
      </c>
      <c r="P98" s="3">
        <f t="shared" si="8"/>
        <v>354.30674999999997</v>
      </c>
      <c r="Q98" s="3">
        <f t="shared" si="9"/>
        <v>330.62889335281034</v>
      </c>
      <c r="R98">
        <f>IFERROR(_xlfn.XLOOKUP(A98,'2025 NOV'!A:A,'2025 NOV'!L:L),"NÃO TEM NA LISTA 2025")</f>
        <v>329.15426700410097</v>
      </c>
      <c r="S98" t="s">
        <v>376</v>
      </c>
      <c r="T98" t="s">
        <v>213</v>
      </c>
      <c r="U98">
        <v>15.6</v>
      </c>
      <c r="V98" t="s">
        <v>213</v>
      </c>
      <c r="W98" t="s">
        <v>213</v>
      </c>
      <c r="X98" t="s">
        <v>213</v>
      </c>
      <c r="Y98" t="s">
        <v>213</v>
      </c>
    </row>
    <row r="99" spans="1:25" x14ac:dyDescent="0.2">
      <c r="A99" t="s">
        <v>110</v>
      </c>
      <c r="B99" t="s">
        <v>223</v>
      </c>
      <c r="C99" t="s">
        <v>429</v>
      </c>
      <c r="D99" t="s">
        <v>190</v>
      </c>
      <c r="E99" t="s">
        <v>127</v>
      </c>
      <c r="F99" s="1">
        <v>0.15</v>
      </c>
      <c r="G99" s="1">
        <f>IF(Table1[[#This Row],[PPB]]="Sim",0.12,0.04)</f>
        <v>0.12</v>
      </c>
      <c r="K99" s="2" t="str" cm="1">
        <f t="array" ref="K9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99" s="3">
        <v>387.56809644881139</v>
      </c>
      <c r="M99" s="3">
        <f t="shared" si="5"/>
        <v>476.70875863203798</v>
      </c>
      <c r="N99" s="3">
        <f t="shared" si="6"/>
        <v>465.08171573857362</v>
      </c>
      <c r="O99" s="3">
        <f t="shared" si="7"/>
        <v>453.45467284510931</v>
      </c>
      <c r="P99" s="3">
        <f t="shared" si="8"/>
        <v>420.51138464696032</v>
      </c>
      <c r="Q99" s="3">
        <f t="shared" si="9"/>
        <v>392.40915886610247</v>
      </c>
      <c r="R99">
        <f>IFERROR(_xlfn.XLOOKUP(A99,'2025 NOV'!A:A,'2025 NOV'!L:L),"NÃO TEM NA LISTA 2025")</f>
        <v>392.40915886610202</v>
      </c>
      <c r="S99" t="s">
        <v>376</v>
      </c>
      <c r="T99" t="s">
        <v>213</v>
      </c>
      <c r="U99">
        <v>17</v>
      </c>
      <c r="V99" t="s">
        <v>213</v>
      </c>
      <c r="W99" t="s">
        <v>213</v>
      </c>
      <c r="X99" t="s">
        <v>213</v>
      </c>
      <c r="Y99" t="s">
        <v>213</v>
      </c>
    </row>
    <row r="100" spans="1:25" x14ac:dyDescent="0.2">
      <c r="A100" t="s">
        <v>111</v>
      </c>
      <c r="B100" t="s">
        <v>224</v>
      </c>
      <c r="C100" t="s">
        <v>429</v>
      </c>
      <c r="D100" t="s">
        <v>190</v>
      </c>
      <c r="E100" t="s">
        <v>127</v>
      </c>
      <c r="F100" s="1">
        <v>0.15</v>
      </c>
      <c r="G100" s="1">
        <f>IF(Table1[[#This Row],[PPB]]="Sim",0.12,0.04)</f>
        <v>0.12</v>
      </c>
      <c r="K100" s="2" t="str" cm="1">
        <f t="array" ref="K10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0" s="3">
        <v>352.83051451806097</v>
      </c>
      <c r="M100" s="3">
        <f t="shared" si="5"/>
        <v>433.98153285721497</v>
      </c>
      <c r="N100" s="3">
        <f t="shared" si="6"/>
        <v>423.39661742167317</v>
      </c>
      <c r="O100" s="3">
        <f t="shared" si="7"/>
        <v>412.81170198613131</v>
      </c>
      <c r="P100" s="3">
        <f t="shared" si="8"/>
        <v>382.82110825209611</v>
      </c>
      <c r="Q100" s="3">
        <f t="shared" si="9"/>
        <v>357.23767434147658</v>
      </c>
      <c r="R100">
        <f>IFERROR(_xlfn.XLOOKUP(A100,'2025 NOV'!A:A,'2025 NOV'!L:L),"NÃO TEM NA LISTA 2025")</f>
        <v>357.23767434147692</v>
      </c>
      <c r="S100" t="s">
        <v>376</v>
      </c>
      <c r="T100" t="s">
        <v>213</v>
      </c>
      <c r="U100">
        <v>18.5</v>
      </c>
      <c r="V100" t="s">
        <v>213</v>
      </c>
      <c r="W100" t="s">
        <v>213</v>
      </c>
      <c r="X100" t="s">
        <v>213</v>
      </c>
      <c r="Y100" t="s">
        <v>213</v>
      </c>
    </row>
    <row r="101" spans="1:25" x14ac:dyDescent="0.2">
      <c r="A101" t="s">
        <v>112</v>
      </c>
      <c r="B101" t="s">
        <v>225</v>
      </c>
      <c r="C101" t="s">
        <v>429</v>
      </c>
      <c r="D101" t="s">
        <v>190</v>
      </c>
      <c r="E101" t="s">
        <v>127</v>
      </c>
      <c r="F101" s="1">
        <v>0.15</v>
      </c>
      <c r="G101" s="1">
        <f>IF(Table1[[#This Row],[PPB]]="Sim",0.12,0.04)</f>
        <v>0.12</v>
      </c>
      <c r="K101" s="2" t="str" cm="1">
        <f t="array" ref="K10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1" s="3">
        <v>414.32276146913659</v>
      </c>
      <c r="M101" s="3">
        <f t="shared" si="5"/>
        <v>509.616996607038</v>
      </c>
      <c r="N101" s="3">
        <f t="shared" si="6"/>
        <v>497.18731376296387</v>
      </c>
      <c r="O101" s="3">
        <f t="shared" si="7"/>
        <v>484.75763091888979</v>
      </c>
      <c r="P101" s="3">
        <f t="shared" si="8"/>
        <v>449.54019619401322</v>
      </c>
      <c r="Q101" s="3">
        <f t="shared" si="9"/>
        <v>419.49801290896045</v>
      </c>
      <c r="R101">
        <f>IFERROR(_xlfn.XLOOKUP(A101,'2025 NOV'!A:A,'2025 NOV'!L:L),"NÃO TEM NA LISTA 2025")</f>
        <v>419.49801290896062</v>
      </c>
      <c r="S101" t="s">
        <v>376</v>
      </c>
      <c r="T101" t="s">
        <v>213</v>
      </c>
      <c r="U101">
        <v>21.5</v>
      </c>
      <c r="V101" t="s">
        <v>213</v>
      </c>
      <c r="W101" t="s">
        <v>213</v>
      </c>
      <c r="X101" t="s">
        <v>213</v>
      </c>
      <c r="Y101" t="s">
        <v>213</v>
      </c>
    </row>
    <row r="102" spans="1:25" x14ac:dyDescent="0.2">
      <c r="A102" t="s">
        <v>113</v>
      </c>
      <c r="B102" t="s">
        <v>226</v>
      </c>
      <c r="C102" t="s">
        <v>429</v>
      </c>
      <c r="D102" t="s">
        <v>190</v>
      </c>
      <c r="E102" t="s">
        <v>127</v>
      </c>
      <c r="F102" s="1">
        <v>0.15</v>
      </c>
      <c r="G102" s="1">
        <f>IF(Table1[[#This Row],[PPB]]="Sim",0.12,0.04)</f>
        <v>0.12</v>
      </c>
      <c r="K102" s="2" t="str" cm="1">
        <f t="array" ref="K10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2" s="3">
        <v>401.4390243902439</v>
      </c>
      <c r="M102" s="3">
        <f t="shared" si="5"/>
        <v>493.77</v>
      </c>
      <c r="N102" s="3">
        <f t="shared" si="6"/>
        <v>481.72682926829265</v>
      </c>
      <c r="O102" s="3">
        <f t="shared" si="7"/>
        <v>469.68365853658531</v>
      </c>
      <c r="P102" s="3">
        <f t="shared" si="8"/>
        <v>435.56134146341458</v>
      </c>
      <c r="Q102" s="3">
        <f t="shared" si="9"/>
        <v>406.45334675479455</v>
      </c>
      <c r="R102">
        <f>IFERROR(_xlfn.XLOOKUP(A102,'2025 NOV'!A:A,'2025 NOV'!L:L),"NÃO TEM NA LISTA 2025")</f>
        <v>406.45116501536944</v>
      </c>
      <c r="S102" t="s">
        <v>376</v>
      </c>
      <c r="T102" t="s">
        <v>213</v>
      </c>
      <c r="U102">
        <v>23.8</v>
      </c>
      <c r="V102" t="s">
        <v>213</v>
      </c>
      <c r="W102" t="s">
        <v>213</v>
      </c>
      <c r="X102" t="s">
        <v>213</v>
      </c>
      <c r="Y102" t="s">
        <v>213</v>
      </c>
    </row>
    <row r="103" spans="1:25" x14ac:dyDescent="0.2">
      <c r="A103" t="s">
        <v>114</v>
      </c>
      <c r="B103" t="s">
        <v>227</v>
      </c>
      <c r="C103" t="s">
        <v>429</v>
      </c>
      <c r="D103" t="s">
        <v>190</v>
      </c>
      <c r="E103" t="s">
        <v>127</v>
      </c>
      <c r="F103" s="1">
        <v>0.15</v>
      </c>
      <c r="G103" s="1">
        <f>IF(Table1[[#This Row],[PPB]]="Sim",0.12,0.04)</f>
        <v>0.12</v>
      </c>
      <c r="K103" s="2" t="str" cm="1">
        <f t="array" ref="K10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3" s="3">
        <v>533.86033519316584</v>
      </c>
      <c r="M103" s="3">
        <f t="shared" si="5"/>
        <v>656.64821228759399</v>
      </c>
      <c r="N103" s="3">
        <f t="shared" si="6"/>
        <v>640.63240223179901</v>
      </c>
      <c r="O103" s="3">
        <f t="shared" si="7"/>
        <v>624.61659217600402</v>
      </c>
      <c r="P103" s="3">
        <f t="shared" si="8"/>
        <v>579.23846368458499</v>
      </c>
      <c r="Q103" s="3">
        <f t="shared" si="9"/>
        <v>540.52871483655429</v>
      </c>
      <c r="R103">
        <f>IFERROR(_xlfn.XLOOKUP(A103,'2025 NOV'!A:A,'2025 NOV'!L:L),"NÃO TEM NA LISTA 2025")</f>
        <v>621.8866451109219</v>
      </c>
      <c r="S103" t="s">
        <v>376</v>
      </c>
      <c r="T103" t="s">
        <v>213</v>
      </c>
      <c r="U103">
        <v>27</v>
      </c>
      <c r="V103" t="s">
        <v>213</v>
      </c>
      <c r="W103" t="s">
        <v>213</v>
      </c>
      <c r="X103" t="s">
        <v>213</v>
      </c>
      <c r="Y103" t="s">
        <v>213</v>
      </c>
    </row>
    <row r="104" spans="1:25" x14ac:dyDescent="0.2">
      <c r="A104" t="s">
        <v>115</v>
      </c>
      <c r="B104" t="s">
        <v>228</v>
      </c>
      <c r="C104" t="s">
        <v>429</v>
      </c>
      <c r="D104" t="s">
        <v>190</v>
      </c>
      <c r="E104" t="s">
        <v>127</v>
      </c>
      <c r="F104" s="1">
        <v>0.15</v>
      </c>
      <c r="G104" s="1">
        <f>IF(Table1[[#This Row],[PPB]]="Sim",0.12,0.04)</f>
        <v>0.12</v>
      </c>
      <c r="K104" s="2" t="str" cm="1">
        <f t="array" ref="K10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4" s="3">
        <v>769.65570594809026</v>
      </c>
      <c r="M104" s="3">
        <f t="shared" si="5"/>
        <v>946.67651831615103</v>
      </c>
      <c r="N104" s="3">
        <f t="shared" si="6"/>
        <v>923.58684713770822</v>
      </c>
      <c r="O104" s="3">
        <f t="shared" si="7"/>
        <v>900.49717595926552</v>
      </c>
      <c r="P104" s="3">
        <f t="shared" si="8"/>
        <v>835.07644095367789</v>
      </c>
      <c r="Q104" s="3">
        <f t="shared" si="9"/>
        <v>779.26937473677253</v>
      </c>
      <c r="R104">
        <f>IFERROR(_xlfn.XLOOKUP(A104,'2025 NOV'!A:A,'2025 NOV'!L:L),"NÃO TEM NA LISTA 2025")</f>
        <v>779.26937473677242</v>
      </c>
      <c r="S104" t="s">
        <v>376</v>
      </c>
      <c r="T104" t="s">
        <v>213</v>
      </c>
      <c r="U104">
        <v>32</v>
      </c>
      <c r="V104" t="s">
        <v>213</v>
      </c>
      <c r="W104" t="s">
        <v>213</v>
      </c>
      <c r="X104" t="s">
        <v>213</v>
      </c>
      <c r="Y104" t="s">
        <v>213</v>
      </c>
    </row>
    <row r="105" spans="1:25" x14ac:dyDescent="0.2">
      <c r="A105" t="s">
        <v>116</v>
      </c>
      <c r="B105" t="s">
        <v>229</v>
      </c>
      <c r="C105" t="s">
        <v>429</v>
      </c>
      <c r="D105" t="s">
        <v>190</v>
      </c>
      <c r="E105" t="s">
        <v>127</v>
      </c>
      <c r="F105" s="1">
        <v>0.15</v>
      </c>
      <c r="G105" s="1">
        <f>IF(Table1[[#This Row],[PPB]]="Sim",0.12,0.04)</f>
        <v>0.12</v>
      </c>
      <c r="K105" s="2" t="str" cm="1">
        <f t="array" ref="K10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5" s="3">
        <v>1576.0296568377398</v>
      </c>
      <c r="M105" s="3">
        <f t="shared" si="5"/>
        <v>1938.51647791042</v>
      </c>
      <c r="N105" s="3">
        <f t="shared" si="6"/>
        <v>1891.2355882052877</v>
      </c>
      <c r="O105" s="3">
        <f t="shared" si="7"/>
        <v>1843.9546985001555</v>
      </c>
      <c r="P105" s="3">
        <f t="shared" si="8"/>
        <v>1709.9921776689475</v>
      </c>
      <c r="Q105" s="3">
        <f t="shared" si="9"/>
        <v>1595.7156372116715</v>
      </c>
      <c r="R105">
        <f>IFERROR(_xlfn.XLOOKUP(A105,'2025 NOV'!A:A,'2025 NOV'!L:L),"NÃO TEM NA LISTA 2025")</f>
        <v>1595.7156372116692</v>
      </c>
      <c r="S105" t="s">
        <v>376</v>
      </c>
      <c r="T105" t="s">
        <v>213</v>
      </c>
      <c r="U105">
        <v>55</v>
      </c>
      <c r="V105" t="s">
        <v>213</v>
      </c>
      <c r="W105" t="s">
        <v>213</v>
      </c>
      <c r="X105" t="s">
        <v>213</v>
      </c>
      <c r="Y105" t="s">
        <v>213</v>
      </c>
    </row>
    <row r="106" spans="1:25" x14ac:dyDescent="0.2">
      <c r="A106" t="s">
        <v>117</v>
      </c>
      <c r="B106" t="s">
        <v>230</v>
      </c>
      <c r="C106" t="s">
        <v>429</v>
      </c>
      <c r="D106" t="s">
        <v>190</v>
      </c>
      <c r="E106" t="s">
        <v>170</v>
      </c>
      <c r="F106" s="1" t="s">
        <v>170</v>
      </c>
      <c r="G106" s="1">
        <f>IF(Table1[[#This Row],[PPB]]="Sim",0.12,0.04)</f>
        <v>0.12</v>
      </c>
      <c r="K106" s="2" t="str" cm="1">
        <f t="array" ref="K10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6" s="3">
        <v>319.73170731707319</v>
      </c>
      <c r="M106" s="3">
        <f t="shared" si="5"/>
        <v>393.27000000000004</v>
      </c>
      <c r="N106" s="3">
        <f t="shared" si="6"/>
        <v>383.67804878048781</v>
      </c>
      <c r="O106" s="3">
        <f t="shared" si="7"/>
        <v>374.08609756097559</v>
      </c>
      <c r="P106" s="3">
        <f t="shared" si="8"/>
        <v>346.90890243902436</v>
      </c>
      <c r="Q106" s="3">
        <f t="shared" si="9"/>
        <v>323.72543426748905</v>
      </c>
      <c r="R106" t="str">
        <f>IFERROR(_xlfn.XLOOKUP(A106,'2025 NOV'!A:A,'2025 NOV'!L:L),"NÃO TEM NA LISTA 2025")</f>
        <v>NÃO TEM NA LISTA 2025</v>
      </c>
      <c r="S106" t="s">
        <v>376</v>
      </c>
      <c r="T106" t="s">
        <v>213</v>
      </c>
      <c r="U106">
        <v>12</v>
      </c>
      <c r="V106" t="s">
        <v>213</v>
      </c>
      <c r="W106" t="s">
        <v>213</v>
      </c>
      <c r="X106" t="s">
        <v>213</v>
      </c>
      <c r="Y106" t="s">
        <v>213</v>
      </c>
    </row>
    <row r="107" spans="1:25" x14ac:dyDescent="0.2">
      <c r="A107" t="s">
        <v>117</v>
      </c>
      <c r="B107" t="s">
        <v>231</v>
      </c>
      <c r="C107" t="s">
        <v>429</v>
      </c>
      <c r="D107" t="s">
        <v>190</v>
      </c>
      <c r="E107" t="s">
        <v>170</v>
      </c>
      <c r="F107" s="1" t="s">
        <v>170</v>
      </c>
      <c r="G107" s="1">
        <f>IF(Table1[[#This Row],[PPB]]="Sim",0.12,0.04)</f>
        <v>0.12</v>
      </c>
      <c r="K107" s="2" t="str" cm="1">
        <f t="array" ref="K10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7" s="3">
        <v>337.15447154471542</v>
      </c>
      <c r="M107" s="3">
        <f t="shared" si="5"/>
        <v>414.7</v>
      </c>
      <c r="N107" s="3">
        <f t="shared" si="6"/>
        <v>404.58536585365852</v>
      </c>
      <c r="O107" s="3">
        <f t="shared" si="7"/>
        <v>394.47073170731704</v>
      </c>
      <c r="P107" s="3">
        <f t="shared" si="8"/>
        <v>365.8126016260162</v>
      </c>
      <c r="Q107" s="3">
        <f t="shared" si="9"/>
        <v>341.36582396503087</v>
      </c>
      <c r="R107" t="str">
        <f>IFERROR(_xlfn.XLOOKUP(A107,'2025 NOV'!A:A,'2025 NOV'!L:L),"NÃO TEM NA LISTA 2025")</f>
        <v>NÃO TEM NA LISTA 2025</v>
      </c>
      <c r="S107" t="s">
        <v>376</v>
      </c>
      <c r="T107" t="s">
        <v>213</v>
      </c>
      <c r="U107">
        <v>12</v>
      </c>
      <c r="V107" t="s">
        <v>213</v>
      </c>
      <c r="W107" t="s">
        <v>213</v>
      </c>
      <c r="X107" t="s">
        <v>213</v>
      </c>
      <c r="Y107" t="s">
        <v>213</v>
      </c>
    </row>
    <row r="108" spans="1:25" x14ac:dyDescent="0.2">
      <c r="B108" t="s">
        <v>232</v>
      </c>
      <c r="C108" t="s">
        <v>429</v>
      </c>
      <c r="D108" t="s">
        <v>190</v>
      </c>
      <c r="E108" t="s">
        <v>127</v>
      </c>
      <c r="F108" s="1">
        <v>0.15</v>
      </c>
      <c r="G108" s="1">
        <f>IF(Table1[[#This Row],[PPB]]="Sim",0.12,0.04)</f>
        <v>0.12</v>
      </c>
      <c r="K108" s="2" t="str" cm="1">
        <f t="array" ref="K108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8" s="3">
        <v>205.02495685358781</v>
      </c>
      <c r="M108" s="3">
        <f t="shared" si="5"/>
        <v>252.18069692991301</v>
      </c>
      <c r="N108" s="3">
        <f t="shared" si="6"/>
        <v>246.02994822430537</v>
      </c>
      <c r="O108" s="3">
        <f t="shared" si="7"/>
        <v>239.87919951869773</v>
      </c>
      <c r="P108" s="3">
        <f t="shared" si="8"/>
        <v>222.45207818614278</v>
      </c>
      <c r="Q108" s="3">
        <f t="shared" si="9"/>
        <v>207.58589678214491</v>
      </c>
      <c r="R108">
        <f>IFERROR(_xlfn.XLOOKUP(A108,'2025 NOV'!A:A,'2025 NOV'!L:L),"NÃO TEM NA LISTA 2025")</f>
        <v>207.58589678214506</v>
      </c>
      <c r="S108" t="s">
        <v>376</v>
      </c>
      <c r="T108" t="s">
        <v>213</v>
      </c>
      <c r="U108">
        <v>7</v>
      </c>
      <c r="V108" t="s">
        <v>213</v>
      </c>
      <c r="W108" t="s">
        <v>213</v>
      </c>
      <c r="X108" t="s">
        <v>213</v>
      </c>
      <c r="Y108" t="s">
        <v>213</v>
      </c>
    </row>
    <row r="109" spans="1:25" x14ac:dyDescent="0.2">
      <c r="B109" t="s">
        <v>233</v>
      </c>
      <c r="C109" t="s">
        <v>429</v>
      </c>
      <c r="D109" t="s">
        <v>190</v>
      </c>
      <c r="E109" t="s">
        <v>127</v>
      </c>
      <c r="F109" s="1">
        <v>0.15</v>
      </c>
      <c r="G109" s="1">
        <f>IF(Table1[[#This Row],[PPB]]="Sim",0.12,0.04)</f>
        <v>0.12</v>
      </c>
      <c r="K109" s="2" t="str" cm="1">
        <f t="array" ref="K109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09" s="3">
        <v>152.5275114245382</v>
      </c>
      <c r="M109" s="3">
        <f t="shared" si="5"/>
        <v>187.60883905218199</v>
      </c>
      <c r="N109" s="3">
        <f t="shared" si="6"/>
        <v>183.03301370944584</v>
      </c>
      <c r="O109" s="3">
        <f t="shared" si="7"/>
        <v>178.45718836670969</v>
      </c>
      <c r="P109" s="3">
        <f t="shared" si="8"/>
        <v>165.49234989562393</v>
      </c>
      <c r="Q109" s="3">
        <f t="shared" si="9"/>
        <v>154.43271262640698</v>
      </c>
      <c r="R109" t="str">
        <f>IFERROR(_xlfn.XLOOKUP(A109,'2025 NOV'!A:A,'2025 NOV'!L:L),"NÃO TEM NA LISTA 2025")</f>
        <v>NÃO TEM NA LISTA 2025</v>
      </c>
      <c r="S109" t="s">
        <v>376</v>
      </c>
      <c r="T109" t="s">
        <v>213</v>
      </c>
      <c r="U109">
        <v>7</v>
      </c>
      <c r="V109" t="s">
        <v>213</v>
      </c>
      <c r="W109" t="s">
        <v>213</v>
      </c>
      <c r="X109" t="s">
        <v>213</v>
      </c>
      <c r="Y109" t="s">
        <v>213</v>
      </c>
    </row>
    <row r="110" spans="1:25" x14ac:dyDescent="0.2">
      <c r="A110" t="s">
        <v>118</v>
      </c>
      <c r="B110" t="s">
        <v>234</v>
      </c>
      <c r="C110" t="s">
        <v>429</v>
      </c>
      <c r="D110" t="s">
        <v>190</v>
      </c>
      <c r="E110" t="s">
        <v>127</v>
      </c>
      <c r="F110" s="1">
        <v>0.15</v>
      </c>
      <c r="G110" s="1">
        <f>IF(Table1[[#This Row],[PPB]]="Sim",0.12,0.04)</f>
        <v>0.12</v>
      </c>
      <c r="K110" s="2" t="str" cm="1">
        <f t="array" ref="K110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10" s="3">
        <v>208.01195749718863</v>
      </c>
      <c r="M110" s="3">
        <f t="shared" si="5"/>
        <v>255.85470772154201</v>
      </c>
      <c r="N110" s="3">
        <f t="shared" si="6"/>
        <v>249.61434899662635</v>
      </c>
      <c r="O110" s="3">
        <f t="shared" si="7"/>
        <v>243.37399027171068</v>
      </c>
      <c r="P110" s="3">
        <f t="shared" si="8"/>
        <v>225.69297388444966</v>
      </c>
      <c r="Q110" s="3">
        <f t="shared" si="9"/>
        <v>210.6102076602275</v>
      </c>
      <c r="R110">
        <f>IFERROR(_xlfn.XLOOKUP(A110,'2025 NOV'!A:A,'2025 NOV'!L:L),"NÃO TEM NA LISTA 2025")</f>
        <v>210.61020766022745</v>
      </c>
      <c r="S110" t="s">
        <v>376</v>
      </c>
      <c r="T110" t="s">
        <v>213</v>
      </c>
      <c r="U110">
        <v>10.1</v>
      </c>
      <c r="V110" t="s">
        <v>213</v>
      </c>
      <c r="W110" t="s">
        <v>213</v>
      </c>
      <c r="X110" t="s">
        <v>213</v>
      </c>
      <c r="Y110" t="s">
        <v>213</v>
      </c>
    </row>
    <row r="111" spans="1:25" x14ac:dyDescent="0.2">
      <c r="A111" t="s">
        <v>119</v>
      </c>
      <c r="B111" t="s">
        <v>235</v>
      </c>
      <c r="C111" t="s">
        <v>429</v>
      </c>
      <c r="D111" t="s">
        <v>190</v>
      </c>
      <c r="E111" t="s">
        <v>127</v>
      </c>
      <c r="F111" s="1">
        <v>0.15</v>
      </c>
      <c r="G111" s="1">
        <f>IF(Table1[[#This Row],[PPB]]="Sim",0.12,0.04)</f>
        <v>0.12</v>
      </c>
      <c r="K111" s="2" t="str" cm="1">
        <f t="array" ref="K111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11" s="3">
        <v>213.1061682705195</v>
      </c>
      <c r="M111" s="3">
        <f t="shared" si="5"/>
        <v>262.12058697273898</v>
      </c>
      <c r="N111" s="3">
        <f t="shared" si="6"/>
        <v>255.72740192462339</v>
      </c>
      <c r="O111" s="3">
        <f t="shared" si="7"/>
        <v>249.33421687650781</v>
      </c>
      <c r="P111" s="3">
        <f t="shared" si="8"/>
        <v>231.22019257351366</v>
      </c>
      <c r="Q111" s="3">
        <f t="shared" si="9"/>
        <v>215.76804955424788</v>
      </c>
      <c r="R111">
        <f>IFERROR(_xlfn.XLOOKUP(A111,'2025 NOV'!A:A,'2025 NOV'!L:L),"NÃO TEM NA LISTA 2025")</f>
        <v>215.76804955424819</v>
      </c>
      <c r="S111" t="s">
        <v>376</v>
      </c>
      <c r="T111" t="s">
        <v>213</v>
      </c>
      <c r="U111">
        <v>10.1</v>
      </c>
      <c r="V111" t="s">
        <v>213</v>
      </c>
      <c r="W111" t="s">
        <v>213</v>
      </c>
      <c r="X111" t="s">
        <v>213</v>
      </c>
      <c r="Y111" t="s">
        <v>213</v>
      </c>
    </row>
    <row r="112" spans="1:25" x14ac:dyDescent="0.2">
      <c r="A112" t="s">
        <v>120</v>
      </c>
      <c r="B112" t="s">
        <v>236</v>
      </c>
      <c r="C112" t="s">
        <v>429</v>
      </c>
      <c r="D112" t="s">
        <v>190</v>
      </c>
      <c r="E112" t="s">
        <v>127</v>
      </c>
      <c r="F112" s="1">
        <v>0.15</v>
      </c>
      <c r="G112" s="1">
        <f>IF(Table1[[#This Row],[PPB]]="Sim",0.12,0.04)</f>
        <v>0.12</v>
      </c>
      <c r="K112" s="2" t="str" cm="1">
        <f t="array" ref="K112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12" s="3">
        <v>318.40522958600246</v>
      </c>
      <c r="M112" s="3">
        <f t="shared" si="5"/>
        <v>391.63843239078301</v>
      </c>
      <c r="N112" s="3">
        <f t="shared" si="6"/>
        <v>382.08627550320296</v>
      </c>
      <c r="O112" s="3">
        <f t="shared" si="7"/>
        <v>372.53411861562284</v>
      </c>
      <c r="P112" s="3">
        <f t="shared" si="8"/>
        <v>345.46967410081265</v>
      </c>
      <c r="Q112" s="3">
        <f t="shared" si="9"/>
        <v>322.38238767651967</v>
      </c>
      <c r="R112">
        <f>IFERROR(_xlfn.XLOOKUP(A112,'2025 NOV'!A:A,'2025 NOV'!L:L),"NÃO TEM NA LISTA 2025")</f>
        <v>322.38238767652001</v>
      </c>
      <c r="S112" t="s">
        <v>376</v>
      </c>
      <c r="T112" t="s">
        <v>213</v>
      </c>
      <c r="U112">
        <v>15</v>
      </c>
      <c r="V112" t="s">
        <v>213</v>
      </c>
      <c r="W112" t="s">
        <v>213</v>
      </c>
      <c r="X112" t="s">
        <v>213</v>
      </c>
      <c r="Y112" t="s">
        <v>213</v>
      </c>
    </row>
    <row r="113" spans="1:25" x14ac:dyDescent="0.2">
      <c r="A113" t="s">
        <v>121</v>
      </c>
      <c r="B113" t="s">
        <v>237</v>
      </c>
      <c r="C113" t="s">
        <v>429</v>
      </c>
      <c r="D113" t="s">
        <v>190</v>
      </c>
      <c r="E113" t="s">
        <v>127</v>
      </c>
      <c r="F113" s="1">
        <v>0.15</v>
      </c>
      <c r="G113" s="1">
        <f>IF(Table1[[#This Row],[PPB]]="Sim",0.12,0.04)</f>
        <v>0.12</v>
      </c>
      <c r="K113" s="2" t="str" cm="1">
        <f t="array" ref="K113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13" s="3">
        <v>327.37255702199269</v>
      </c>
      <c r="M113" s="3">
        <f t="shared" si="5"/>
        <v>402.66824513705103</v>
      </c>
      <c r="N113" s="3">
        <f t="shared" si="6"/>
        <v>392.84706842639122</v>
      </c>
      <c r="O113" s="3">
        <f t="shared" si="7"/>
        <v>383.0258917157314</v>
      </c>
      <c r="P113" s="3">
        <f t="shared" si="8"/>
        <v>355.19922436886202</v>
      </c>
      <c r="Q113" s="3">
        <f t="shared" si="9"/>
        <v>331.46172482701343</v>
      </c>
      <c r="R113">
        <f>IFERROR(_xlfn.XLOOKUP(A113,'2025 NOV'!A:A,'2025 NOV'!L:L),"NÃO TEM NA LISTA 2025")</f>
        <v>331.4617248270132</v>
      </c>
      <c r="S113" t="s">
        <v>376</v>
      </c>
      <c r="T113" t="s">
        <v>213</v>
      </c>
      <c r="U113">
        <v>15.6</v>
      </c>
      <c r="V113" t="s">
        <v>213</v>
      </c>
      <c r="W113" t="s">
        <v>213</v>
      </c>
      <c r="X113" t="s">
        <v>213</v>
      </c>
      <c r="Y113" t="s">
        <v>213</v>
      </c>
    </row>
    <row r="114" spans="1:25" x14ac:dyDescent="0.2">
      <c r="B114" t="s">
        <v>238</v>
      </c>
      <c r="C114" t="s">
        <v>429</v>
      </c>
      <c r="D114" t="s">
        <v>190</v>
      </c>
      <c r="E114" t="s">
        <v>127</v>
      </c>
      <c r="F114" s="1">
        <v>0.15</v>
      </c>
      <c r="G114" s="1">
        <f>IF(Table1[[#This Row],[PPB]]="Sim",0.12,0.04)</f>
        <v>0.12</v>
      </c>
      <c r="K114" s="2" t="str" cm="1">
        <f t="array" ref="K114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14" s="3">
        <v>411.69809239195689</v>
      </c>
      <c r="M114" s="3">
        <f t="shared" si="5"/>
        <v>506.38865364210699</v>
      </c>
      <c r="N114" s="3">
        <f t="shared" si="6"/>
        <v>494.03771087034823</v>
      </c>
      <c r="O114" s="3">
        <f t="shared" si="7"/>
        <v>481.68676809858954</v>
      </c>
      <c r="P114" s="3">
        <f t="shared" si="8"/>
        <v>446.69243024527321</v>
      </c>
      <c r="Q114" s="3">
        <f t="shared" si="9"/>
        <v>416.84055943351939</v>
      </c>
      <c r="R114">
        <f>IFERROR(_xlfn.XLOOKUP(A114,'2025 NOV'!A:A,'2025 NOV'!L:L),"NÃO TEM NA LISTA 2025")</f>
        <v>207.58589678214506</v>
      </c>
      <c r="S114" t="s">
        <v>376</v>
      </c>
      <c r="T114" t="s">
        <v>213</v>
      </c>
      <c r="U114">
        <v>17</v>
      </c>
      <c r="V114" t="s">
        <v>213</v>
      </c>
      <c r="W114" t="s">
        <v>213</v>
      </c>
      <c r="X114" t="s">
        <v>213</v>
      </c>
      <c r="Y114" t="s">
        <v>213</v>
      </c>
    </row>
    <row r="115" spans="1:25" x14ac:dyDescent="0.2">
      <c r="A115" t="s">
        <v>122</v>
      </c>
      <c r="B115" t="s">
        <v>239</v>
      </c>
      <c r="C115" t="s">
        <v>429</v>
      </c>
      <c r="D115" t="s">
        <v>190</v>
      </c>
      <c r="E115" t="s">
        <v>127</v>
      </c>
      <c r="F115" s="1">
        <v>0.15</v>
      </c>
      <c r="G115" s="1">
        <f>IF(Table1[[#This Row],[PPB]]="Sim",0.12,0.04)</f>
        <v>0.12</v>
      </c>
      <c r="K115" s="2" t="str" cm="1">
        <f t="array" ref="K115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15" s="3">
        <v>390.32578704920491</v>
      </c>
      <c r="M115" s="3">
        <f t="shared" si="5"/>
        <v>480.10071807052202</v>
      </c>
      <c r="N115" s="3">
        <f t="shared" si="6"/>
        <v>468.39094445904584</v>
      </c>
      <c r="O115" s="3">
        <f t="shared" si="7"/>
        <v>456.68117084756972</v>
      </c>
      <c r="P115" s="3">
        <f t="shared" si="8"/>
        <v>423.50347894838728</v>
      </c>
      <c r="Q115" s="3">
        <f t="shared" si="9"/>
        <v>395.20129541921091</v>
      </c>
      <c r="R115">
        <f>IFERROR(_xlfn.XLOOKUP(A115,'2025 NOV'!A:A,'2025 NOV'!L:L),"NÃO TEM NA LISTA 2025")</f>
        <v>395.20129541921085</v>
      </c>
      <c r="S115" t="s">
        <v>376</v>
      </c>
      <c r="T115" t="s">
        <v>213</v>
      </c>
      <c r="U115">
        <v>18.5</v>
      </c>
      <c r="V115" t="s">
        <v>213</v>
      </c>
      <c r="W115" t="s">
        <v>213</v>
      </c>
      <c r="X115" t="s">
        <v>213</v>
      </c>
      <c r="Y115" t="s">
        <v>213</v>
      </c>
    </row>
    <row r="116" spans="1:25" x14ac:dyDescent="0.2">
      <c r="A116" t="s">
        <v>123</v>
      </c>
      <c r="B116" t="s">
        <v>240</v>
      </c>
      <c r="C116" t="s">
        <v>431</v>
      </c>
      <c r="D116" t="s">
        <v>190</v>
      </c>
      <c r="E116" t="s">
        <v>213</v>
      </c>
      <c r="F116" s="1">
        <v>0.1</v>
      </c>
      <c r="G116" s="1">
        <f>IF(Table1[[#This Row],[PPB]]="Sim",0.12,0.04)</f>
        <v>0.12</v>
      </c>
      <c r="K116" s="2" t="str" cm="1">
        <f t="array" ref="K116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16" s="3">
        <v>44.453279878954554</v>
      </c>
      <c r="M116" s="3">
        <f t="shared" si="5"/>
        <v>54.677534251114103</v>
      </c>
      <c r="N116" s="3">
        <f t="shared" si="6"/>
        <v>53.34393585474546</v>
      </c>
      <c r="O116" s="3">
        <f t="shared" si="7"/>
        <v>52.010337458376824</v>
      </c>
      <c r="P116" s="3">
        <f t="shared" si="8"/>
        <v>48.231808668665693</v>
      </c>
      <c r="Q116" s="3">
        <f t="shared" si="9"/>
        <v>45.008539985550435</v>
      </c>
      <c r="R116">
        <f>IFERROR(_xlfn.XLOOKUP(A116,'2025 NOV'!A:A,'2025 NOV'!L:L),"NÃO TEM NA LISTA 2025")</f>
        <v>45.010569699560861</v>
      </c>
      <c r="S116" t="s">
        <v>377</v>
      </c>
      <c r="T116" t="s">
        <v>213</v>
      </c>
      <c r="U116" t="s">
        <v>213</v>
      </c>
      <c r="V116" t="s">
        <v>213</v>
      </c>
      <c r="W116" t="s">
        <v>213</v>
      </c>
      <c r="X116" t="s">
        <v>213</v>
      </c>
      <c r="Y116" t="s">
        <v>213</v>
      </c>
    </row>
    <row r="117" spans="1:25" x14ac:dyDescent="0.2">
      <c r="A117" t="s">
        <v>124</v>
      </c>
      <c r="B117" t="s">
        <v>241</v>
      </c>
      <c r="C117" t="s">
        <v>431</v>
      </c>
      <c r="D117" t="s">
        <v>190</v>
      </c>
      <c r="E117" t="s">
        <v>213</v>
      </c>
      <c r="F117" s="1">
        <v>0.1</v>
      </c>
      <c r="G117" s="1">
        <f>IF(Table1[[#This Row],[PPB]]="Sim",0.12,0.04)</f>
        <v>0.12</v>
      </c>
      <c r="K117" s="2" t="str" cm="1">
        <f t="array" ref="K117">IF(AND(Table1[[#This Row],[NATUREZA OPERAÇÃO]]="REVENDA",Table1[[#This Row],[IE?]]="SIM"),INDEX(IMPOSTOS!E:E,MATCH(1,(IMPOSTOS!B:B=Table1[[#This Row],[NCM]])*(IMPOSTOS!C:C=Table1[[#This Row],[ESTADO DESTINO]])*(IMPOSTOS!D:D=Table1[[#This Row],[ICMS]]),0)),IF(AND(Table1[[#This Row],[NATUREZA OPERAÇÃO]]="CONSUMO",Table1[[#This Row],[IE?]]="SIM"),INDEX(IMPOSTOS!F:F,MATCH(1,(IMPOSTOS!B:B=Table1[[#This Row],[NCM]])*(IMPOSTOS!C:C=Table1[[#This Row],[ESTADO DESTINO]])*(IMPOSTOS!D:D=Table1[[#This Row],[ICMS]]),0)),IF(AND(Table1[[#This Row],[NATUREZA OPERAÇÃO]]="CONSUMO",Table1[[#This Row],[IE?]]="NÃO"),INDEX(IMPOSTOS!G:G,MATCH(1,(IMPOSTOS!B:B=Table1[[#This Row],[NCM]])*(IMPOSTOS!C:C=Table1[[#This Row],[ESTADO DESTINO]])*(IMPOSTOS!D:D=Table1[[#This Row],[ICMS]]),0)),"NÃO ENCONTRADO")))</f>
        <v>NÃO ENCONTRADO</v>
      </c>
      <c r="L117" s="3">
        <v>59.694404408881788</v>
      </c>
      <c r="M117" s="3">
        <f t="shared" si="5"/>
        <v>73.424117422924596</v>
      </c>
      <c r="N117" s="3">
        <f t="shared" si="6"/>
        <v>71.633285290658137</v>
      </c>
      <c r="O117" s="3">
        <f t="shared" si="7"/>
        <v>69.842453158391692</v>
      </c>
      <c r="P117" s="3">
        <f t="shared" si="8"/>
        <v>64.768428783636736</v>
      </c>
      <c r="Q117" s="3">
        <f t="shared" si="9"/>
        <v>60.440039409167682</v>
      </c>
      <c r="R117">
        <f>IFERROR(_xlfn.XLOOKUP(A117,'2025 NOV'!A:A,'2025 NOV'!L:L),"NÃO TEM NA LISTA 2025")</f>
        <v>60.43665009769127</v>
      </c>
      <c r="S117" t="s">
        <v>377</v>
      </c>
      <c r="T117" t="s">
        <v>213</v>
      </c>
      <c r="U117" t="s">
        <v>213</v>
      </c>
      <c r="V117" t="s">
        <v>213</v>
      </c>
      <c r="W117" t="s">
        <v>213</v>
      </c>
      <c r="X117" t="s">
        <v>213</v>
      </c>
      <c r="Y117" t="s">
        <v>213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F127126-6267-AE40-9A38-C2C72EE796E7}">
          <x14:formula1>
            <xm:f>HELPER!$A$1:$A$27</xm:f>
          </x14:formula1>
          <xm:sqref>H2:H117</xm:sqref>
        </x14:dataValidation>
        <x14:dataValidation type="list" allowBlank="1" showInputMessage="1" showErrorMessage="1" xr:uid="{275DDD9D-1EC2-2D44-887E-3EBDBB7F49E7}">
          <x14:formula1>
            <xm:f>HELPER!$B$1:$B$2</xm:f>
          </x14:formula1>
          <xm:sqref>I2:I117</xm:sqref>
        </x14:dataValidation>
        <x14:dataValidation type="list" allowBlank="1" showInputMessage="1" showErrorMessage="1" xr:uid="{40518C22-ECC0-DF46-963F-B716A46BA346}">
          <x14:formula1>
            <xm:f>HELPER!$D$1:$D$2</xm:f>
          </x14:formula1>
          <xm:sqref>J2:J117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CD29-E600-B04F-97D0-9606FC591749}">
  <dimension ref="A1:L90"/>
  <sheetViews>
    <sheetView zoomScale="140" zoomScaleNormal="140" workbookViewId="0">
      <pane ySplit="1" topLeftCell="A29" activePane="bottomLeft" state="frozen"/>
      <selection activeCell="B2" sqref="B2"/>
      <selection pane="bottomLeft" activeCell="A71" sqref="A71"/>
    </sheetView>
  </sheetViews>
  <sheetFormatPr baseColWidth="10" defaultColWidth="10.83203125" defaultRowHeight="16" x14ac:dyDescent="0.2"/>
  <cols>
    <col min="1" max="1" width="16.5" bestFit="1" customWidth="1"/>
    <col min="2" max="2" width="69.5" customWidth="1"/>
    <col min="3" max="3" width="4.6640625" bestFit="1" customWidth="1"/>
    <col min="4" max="4" width="9.83203125" bestFit="1" customWidth="1"/>
    <col min="5" max="5" width="4.6640625" style="1" bestFit="1" customWidth="1"/>
    <col min="6" max="6" width="7.5" bestFit="1" customWidth="1"/>
    <col min="7" max="10" width="10.5" bestFit="1" customWidth="1"/>
    <col min="11" max="11" width="10.6640625" bestFit="1" customWidth="1"/>
    <col min="12" max="12" width="13.1640625" bestFit="1" customWidth="1"/>
  </cols>
  <sheetData>
    <row r="1" spans="1:12" x14ac:dyDescent="0.2">
      <c r="A1" s="5" t="s">
        <v>0</v>
      </c>
      <c r="B1" s="5" t="s">
        <v>27</v>
      </c>
      <c r="C1" s="5" t="s">
        <v>28</v>
      </c>
      <c r="D1" s="5" t="s">
        <v>29</v>
      </c>
      <c r="E1" s="6" t="s">
        <v>30</v>
      </c>
      <c r="F1" s="6" t="s">
        <v>244</v>
      </c>
      <c r="G1" s="5" t="s">
        <v>31</v>
      </c>
      <c r="H1" s="7" t="s">
        <v>32</v>
      </c>
      <c r="I1" s="7" t="s">
        <v>33</v>
      </c>
      <c r="J1" s="7" t="s">
        <v>34</v>
      </c>
      <c r="K1" s="8" t="s">
        <v>245</v>
      </c>
      <c r="L1" s="8" t="s">
        <v>246</v>
      </c>
    </row>
    <row r="2" spans="1:12" x14ac:dyDescent="0.2">
      <c r="A2" t="s">
        <v>4</v>
      </c>
      <c r="B2" t="s">
        <v>129</v>
      </c>
      <c r="C2" t="s">
        <v>126</v>
      </c>
      <c r="D2" t="s">
        <v>127</v>
      </c>
      <c r="E2" s="1">
        <v>0.15</v>
      </c>
      <c r="F2" t="s">
        <v>446</v>
      </c>
      <c r="G2" s="3">
        <v>247.69393443463099</v>
      </c>
      <c r="H2" s="3">
        <v>304.66353935459699</v>
      </c>
      <c r="I2" s="3">
        <v>297.23272132155802</v>
      </c>
      <c r="J2" s="3">
        <v>289.80190328851899</v>
      </c>
      <c r="K2" s="3">
        <v>268.74791886157499</v>
      </c>
      <c r="L2" s="3">
        <v>250.787846983083</v>
      </c>
    </row>
    <row r="3" spans="1:12" x14ac:dyDescent="0.2">
      <c r="A3" t="s">
        <v>5</v>
      </c>
      <c r="B3" t="s">
        <v>456</v>
      </c>
      <c r="C3" t="s">
        <v>126</v>
      </c>
      <c r="D3" t="s">
        <v>131</v>
      </c>
      <c r="E3" s="1">
        <v>0.15</v>
      </c>
      <c r="F3" t="s">
        <v>446</v>
      </c>
      <c r="G3" s="3">
        <v>595.33778801932021</v>
      </c>
      <c r="H3" s="3">
        <v>732.26547926376384</v>
      </c>
      <c r="I3" s="3">
        <v>714.40534562318419</v>
      </c>
      <c r="J3" s="3">
        <v>696.54521198260466</v>
      </c>
      <c r="K3" s="3">
        <v>645.94150000096238</v>
      </c>
      <c r="L3" s="3">
        <v>602.77407448763688</v>
      </c>
    </row>
    <row r="4" spans="1:12" x14ac:dyDescent="0.2">
      <c r="A4" t="s">
        <v>447</v>
      </c>
      <c r="B4" t="s">
        <v>457</v>
      </c>
      <c r="C4" t="s">
        <v>126</v>
      </c>
      <c r="D4" t="s">
        <v>131</v>
      </c>
      <c r="E4" s="1">
        <v>0.15</v>
      </c>
      <c r="F4" t="s">
        <v>446</v>
      </c>
      <c r="G4" s="3">
        <v>704.58496631996309</v>
      </c>
      <c r="H4" s="3">
        <v>866.63950857355462</v>
      </c>
      <c r="I4" s="3">
        <v>845.50195958395568</v>
      </c>
      <c r="J4" s="3">
        <v>824.36441059435674</v>
      </c>
      <c r="K4" s="3">
        <v>764.47468845715991</v>
      </c>
      <c r="L4" s="3">
        <v>713.38584500810452</v>
      </c>
    </row>
    <row r="5" spans="1:12" x14ac:dyDescent="0.2">
      <c r="A5" t="s">
        <v>6</v>
      </c>
      <c r="B5" t="s">
        <v>7</v>
      </c>
      <c r="C5" t="s">
        <v>126</v>
      </c>
      <c r="D5" t="s">
        <v>131</v>
      </c>
      <c r="E5" s="1">
        <v>0.15</v>
      </c>
      <c r="F5" t="s">
        <v>446</v>
      </c>
      <c r="G5" s="3">
        <v>523.07587661123011</v>
      </c>
      <c r="H5" s="3">
        <v>643.38332823181304</v>
      </c>
      <c r="I5" s="3">
        <v>627.69105193347616</v>
      </c>
      <c r="J5" s="3">
        <v>611.99877563513917</v>
      </c>
      <c r="K5" s="3">
        <v>567.53732612318458</v>
      </c>
      <c r="L5" s="3">
        <v>529.60954899256524</v>
      </c>
    </row>
    <row r="6" spans="1:12" x14ac:dyDescent="0.2">
      <c r="A6" t="s">
        <v>8</v>
      </c>
      <c r="B6" t="s">
        <v>9</v>
      </c>
      <c r="C6" t="s">
        <v>126</v>
      </c>
      <c r="D6" t="s">
        <v>131</v>
      </c>
      <c r="E6" s="1">
        <v>0.15</v>
      </c>
      <c r="F6" t="s">
        <v>446</v>
      </c>
      <c r="G6" s="3">
        <v>654.95742411409265</v>
      </c>
      <c r="H6" s="3">
        <v>805.59763166033395</v>
      </c>
      <c r="I6" s="3">
        <v>785.94890893691115</v>
      </c>
      <c r="J6" s="3">
        <v>766.30018621348836</v>
      </c>
      <c r="K6" s="3">
        <v>710.6288051637905</v>
      </c>
      <c r="L6" s="3">
        <v>663.13841166145983</v>
      </c>
    </row>
    <row r="7" spans="1:12" x14ac:dyDescent="0.2">
      <c r="A7" t="s">
        <v>10</v>
      </c>
      <c r="B7" t="s">
        <v>458</v>
      </c>
      <c r="C7" t="s">
        <v>126</v>
      </c>
      <c r="D7" t="s">
        <v>131</v>
      </c>
      <c r="E7" s="1">
        <v>0.15</v>
      </c>
      <c r="F7" t="s">
        <v>446</v>
      </c>
      <c r="G7" s="3">
        <v>669.93114880284816</v>
      </c>
      <c r="H7" s="3">
        <v>824.01531302750323</v>
      </c>
      <c r="I7" s="3">
        <v>803.91737856341774</v>
      </c>
      <c r="J7" s="3">
        <v>783.81944409933226</v>
      </c>
      <c r="K7" s="3">
        <v>726.87529645109021</v>
      </c>
      <c r="L7" s="3">
        <v>678.29917118745243</v>
      </c>
    </row>
    <row r="8" spans="1:12" x14ac:dyDescent="0.2">
      <c r="A8" t="s">
        <v>11</v>
      </c>
      <c r="B8" t="s">
        <v>12</v>
      </c>
      <c r="C8" t="s">
        <v>126</v>
      </c>
      <c r="D8" t="s">
        <v>131</v>
      </c>
      <c r="E8" s="1">
        <v>0.15</v>
      </c>
      <c r="F8" t="s">
        <v>446</v>
      </c>
      <c r="G8" s="3">
        <v>784.73047148220712</v>
      </c>
      <c r="H8" s="3">
        <v>965.21847992311473</v>
      </c>
      <c r="I8" s="3">
        <v>941.67656577864852</v>
      </c>
      <c r="J8" s="3">
        <v>918.13465163418232</v>
      </c>
      <c r="K8" s="3">
        <v>851.43256155819472</v>
      </c>
      <c r="L8" s="3">
        <v>794.53243719611453</v>
      </c>
    </row>
    <row r="9" spans="1:12" x14ac:dyDescent="0.2">
      <c r="A9" t="s">
        <v>13</v>
      </c>
      <c r="B9" t="s">
        <v>459</v>
      </c>
      <c r="C9" t="s">
        <v>126</v>
      </c>
      <c r="D9" t="s">
        <v>131</v>
      </c>
      <c r="E9" s="1">
        <v>0.15</v>
      </c>
      <c r="F9" t="s">
        <v>446</v>
      </c>
      <c r="G9" s="3">
        <v>707.32593646640908</v>
      </c>
      <c r="H9" s="3">
        <v>870.01090185368309</v>
      </c>
      <c r="I9" s="3">
        <v>848.79112375969089</v>
      </c>
      <c r="J9" s="3">
        <v>827.57134566569857</v>
      </c>
      <c r="K9" s="3">
        <v>767.44864106605382</v>
      </c>
      <c r="L9" s="3">
        <v>716.16105225426134</v>
      </c>
    </row>
    <row r="10" spans="1:12" x14ac:dyDescent="0.2">
      <c r="A10" t="s">
        <v>14</v>
      </c>
      <c r="B10" t="s">
        <v>15</v>
      </c>
      <c r="C10" t="s">
        <v>126</v>
      </c>
      <c r="D10" t="s">
        <v>131</v>
      </c>
      <c r="E10" s="1">
        <v>0.15</v>
      </c>
      <c r="F10" t="s">
        <v>446</v>
      </c>
      <c r="G10" s="3">
        <v>822.83557680359286</v>
      </c>
      <c r="H10" s="3">
        <v>1012.0877594684192</v>
      </c>
      <c r="I10" s="3">
        <v>987.40269216431136</v>
      </c>
      <c r="J10" s="3">
        <v>962.71762486020361</v>
      </c>
      <c r="K10" s="3">
        <v>892.77660083189824</v>
      </c>
      <c r="L10" s="3">
        <v>833.11350840573652</v>
      </c>
    </row>
    <row r="11" spans="1:12" x14ac:dyDescent="0.2">
      <c r="A11" t="s">
        <v>16</v>
      </c>
      <c r="B11" t="s">
        <v>460</v>
      </c>
      <c r="C11" t="s">
        <v>126</v>
      </c>
      <c r="D11" t="s">
        <v>131</v>
      </c>
      <c r="E11" s="1">
        <v>0.15</v>
      </c>
      <c r="F11" t="s">
        <v>446</v>
      </c>
      <c r="G11" s="3">
        <v>563.5889363862409</v>
      </c>
      <c r="H11" s="3">
        <v>693.21439175507635</v>
      </c>
      <c r="I11" s="3">
        <v>676.30672366348904</v>
      </c>
      <c r="J11" s="3">
        <v>659.39905557190184</v>
      </c>
      <c r="K11" s="3">
        <v>611.49399597907131</v>
      </c>
      <c r="L11" s="3">
        <v>570.62865210004668</v>
      </c>
    </row>
    <row r="12" spans="1:12" x14ac:dyDescent="0.2">
      <c r="A12" t="s">
        <v>17</v>
      </c>
      <c r="B12" t="s">
        <v>461</v>
      </c>
      <c r="C12" t="s">
        <v>126</v>
      </c>
      <c r="D12" t="s">
        <v>131</v>
      </c>
      <c r="E12" s="1">
        <v>0.15</v>
      </c>
      <c r="F12" t="s">
        <v>446</v>
      </c>
      <c r="G12" s="3">
        <v>647.89307213549625</v>
      </c>
      <c r="H12" s="3">
        <v>796.90847872666041</v>
      </c>
      <c r="I12" s="3">
        <v>777.47168656259544</v>
      </c>
      <c r="J12" s="3">
        <v>758.03489439853058</v>
      </c>
      <c r="K12" s="3">
        <v>702.96398326701342</v>
      </c>
      <c r="L12" s="3">
        <v>655.98581978597952</v>
      </c>
    </row>
    <row r="13" spans="1:12" x14ac:dyDescent="0.2">
      <c r="A13" t="s">
        <v>18</v>
      </c>
      <c r="B13" t="s">
        <v>462</v>
      </c>
      <c r="C13" t="s">
        <v>126</v>
      </c>
      <c r="D13" t="s">
        <v>131</v>
      </c>
      <c r="E13" s="1">
        <v>0.15</v>
      </c>
      <c r="F13" t="s">
        <v>446</v>
      </c>
      <c r="G13" s="3">
        <v>647.96296296296282</v>
      </c>
      <c r="H13" s="3">
        <v>796.9944444444443</v>
      </c>
      <c r="I13" s="3">
        <v>777.55555555555532</v>
      </c>
      <c r="J13" s="3">
        <v>758.11666666666645</v>
      </c>
      <c r="K13" s="3">
        <v>703.03981481481469</v>
      </c>
      <c r="L13" s="3">
        <v>656.05658361063365</v>
      </c>
    </row>
    <row r="14" spans="1:12" x14ac:dyDescent="0.2">
      <c r="A14" t="s">
        <v>19</v>
      </c>
      <c r="B14" t="s">
        <v>20</v>
      </c>
      <c r="C14" t="s">
        <v>126</v>
      </c>
      <c r="D14" t="s">
        <v>131</v>
      </c>
      <c r="E14" s="1">
        <v>0.15</v>
      </c>
      <c r="F14" t="s">
        <v>446</v>
      </c>
      <c r="G14" s="3">
        <v>843.49485826946989</v>
      </c>
      <c r="H14" s="3">
        <v>1037.4986756714479</v>
      </c>
      <c r="I14" s="3">
        <v>1012.1938299233639</v>
      </c>
      <c r="J14" s="3">
        <v>986.88898417527969</v>
      </c>
      <c r="K14" s="3">
        <v>915.19192122237473</v>
      </c>
      <c r="L14" s="3">
        <v>854.03084225515363</v>
      </c>
    </row>
    <row r="15" spans="1:12" x14ac:dyDescent="0.2">
      <c r="A15" t="s">
        <v>21</v>
      </c>
      <c r="B15" t="s">
        <v>22</v>
      </c>
      <c r="C15" t="s">
        <v>126</v>
      </c>
      <c r="D15" t="s">
        <v>131</v>
      </c>
      <c r="E15" s="1">
        <v>0.15</v>
      </c>
      <c r="F15" t="s">
        <v>446</v>
      </c>
      <c r="G15" s="3">
        <v>707.07070707070704</v>
      </c>
      <c r="H15" s="3">
        <v>869.69696969696963</v>
      </c>
      <c r="I15" s="3">
        <v>848.48484848484838</v>
      </c>
      <c r="J15" s="3">
        <v>827.27272727272714</v>
      </c>
      <c r="K15" s="3">
        <v>767.17171717171709</v>
      </c>
      <c r="L15" s="3">
        <v>715.90263482154944</v>
      </c>
    </row>
    <row r="16" spans="1:12" x14ac:dyDescent="0.2">
      <c r="A16" t="s">
        <v>23</v>
      </c>
      <c r="B16" t="s">
        <v>24</v>
      </c>
      <c r="C16" t="s">
        <v>126</v>
      </c>
      <c r="D16" t="s">
        <v>131</v>
      </c>
      <c r="E16" s="1">
        <v>0.15</v>
      </c>
      <c r="F16" t="s">
        <v>446</v>
      </c>
      <c r="G16" s="3">
        <v>810.505027299841</v>
      </c>
      <c r="H16" s="3">
        <v>996.9211835788044</v>
      </c>
      <c r="I16" s="3">
        <v>972.60603275980918</v>
      </c>
      <c r="J16" s="3">
        <v>948.29088194081396</v>
      </c>
      <c r="K16" s="3">
        <v>879.39795462032748</v>
      </c>
      <c r="L16" s="3">
        <v>820.62893962038197</v>
      </c>
    </row>
    <row r="17" spans="1:12" x14ac:dyDescent="0.2">
      <c r="A17" t="s">
        <v>242</v>
      </c>
      <c r="B17" t="s">
        <v>463</v>
      </c>
      <c r="C17" t="s">
        <v>126</v>
      </c>
      <c r="D17" t="s">
        <v>131</v>
      </c>
      <c r="E17" s="1">
        <v>0.15</v>
      </c>
      <c r="F17" t="s">
        <v>446</v>
      </c>
      <c r="G17" s="3">
        <v>960.78631432166776</v>
      </c>
      <c r="H17" s="3">
        <v>1181.7671666156514</v>
      </c>
      <c r="I17" s="3">
        <v>1152.9435771860012</v>
      </c>
      <c r="J17" s="3">
        <v>1124.1199877563513</v>
      </c>
      <c r="K17" s="3">
        <v>1042.4531510390095</v>
      </c>
      <c r="L17" s="3">
        <v>972.7873705487624</v>
      </c>
    </row>
    <row r="18" spans="1:12" x14ac:dyDescent="0.2">
      <c r="A18" t="s">
        <v>448</v>
      </c>
      <c r="B18" t="s">
        <v>464</v>
      </c>
      <c r="C18" t="s">
        <v>126</v>
      </c>
      <c r="D18" t="s">
        <v>131</v>
      </c>
      <c r="E18" s="1">
        <v>0.15</v>
      </c>
      <c r="F18" t="s">
        <v>446</v>
      </c>
      <c r="G18" s="3">
        <v>837.66962554841314</v>
      </c>
      <c r="H18" s="3">
        <v>1030.3336394245482</v>
      </c>
      <c r="I18" s="3">
        <v>1005.2035506580958</v>
      </c>
      <c r="J18" s="3">
        <v>980.07346189164332</v>
      </c>
      <c r="K18" s="3">
        <v>908.87154372002828</v>
      </c>
      <c r="L18" s="3">
        <v>848.13284731384113</v>
      </c>
    </row>
    <row r="19" spans="1:12" x14ac:dyDescent="0.2">
      <c r="A19" t="s">
        <v>243</v>
      </c>
      <c r="B19" t="s">
        <v>465</v>
      </c>
      <c r="C19" t="s">
        <v>126</v>
      </c>
      <c r="D19" t="s">
        <v>131</v>
      </c>
      <c r="E19" s="1">
        <v>0.15</v>
      </c>
      <c r="F19" t="s">
        <v>446</v>
      </c>
      <c r="G19" s="3">
        <v>965.51220024761392</v>
      </c>
      <c r="H19" s="3">
        <v>1187.5800063045651</v>
      </c>
      <c r="I19" s="3">
        <v>1158.6146402971367</v>
      </c>
      <c r="J19" s="3">
        <v>1129.6492742897083</v>
      </c>
      <c r="K19" s="3">
        <v>1047.5807372686611</v>
      </c>
      <c r="L19" s="3">
        <v>977.57228689788872</v>
      </c>
    </row>
    <row r="20" spans="1:12" x14ac:dyDescent="0.2">
      <c r="A20" t="s">
        <v>40</v>
      </c>
      <c r="B20" t="s">
        <v>466</v>
      </c>
      <c r="C20" t="s">
        <v>126</v>
      </c>
      <c r="D20" t="s">
        <v>131</v>
      </c>
      <c r="E20" s="1">
        <v>0.15</v>
      </c>
      <c r="F20" t="s">
        <v>446</v>
      </c>
      <c r="G20" s="3">
        <v>1001.2583749957486</v>
      </c>
      <c r="H20" s="3">
        <v>1231.5478012447707</v>
      </c>
      <c r="I20" s="3">
        <v>1201.5100499948983</v>
      </c>
      <c r="J20" s="3">
        <v>1171.4722987450257</v>
      </c>
      <c r="K20" s="3">
        <v>1086.3653368703872</v>
      </c>
      <c r="L20" s="3">
        <v>1013.7649624409049</v>
      </c>
    </row>
    <row r="21" spans="1:12" x14ac:dyDescent="0.2">
      <c r="A21" t="s">
        <v>449</v>
      </c>
      <c r="B21" t="s">
        <v>467</v>
      </c>
      <c r="C21" t="s">
        <v>126</v>
      </c>
      <c r="D21" t="s">
        <v>131</v>
      </c>
      <c r="E21" s="1">
        <v>0.15</v>
      </c>
      <c r="F21" t="s">
        <v>446</v>
      </c>
      <c r="G21" s="3">
        <v>1051.557841848811</v>
      </c>
      <c r="H21" s="3">
        <v>1293.4161454740374</v>
      </c>
      <c r="I21" s="3">
        <v>1261.8694102185732</v>
      </c>
      <c r="J21" s="3">
        <v>1230.3226749631087</v>
      </c>
      <c r="K21" s="3">
        <v>1140.9402584059599</v>
      </c>
      <c r="L21" s="3">
        <v>1064.6927133576539</v>
      </c>
    </row>
    <row r="22" spans="1:12" x14ac:dyDescent="0.2">
      <c r="A22" t="s">
        <v>42</v>
      </c>
      <c r="B22" t="s">
        <v>468</v>
      </c>
      <c r="C22" t="s">
        <v>126</v>
      </c>
      <c r="D22" t="s">
        <v>131</v>
      </c>
      <c r="E22" s="1">
        <v>0.15</v>
      </c>
      <c r="F22" t="s">
        <v>446</v>
      </c>
      <c r="G22" s="3">
        <v>1051.557841848811</v>
      </c>
      <c r="H22" s="3">
        <v>1293.4161454740374</v>
      </c>
      <c r="I22" s="3">
        <v>1261.8694102185732</v>
      </c>
      <c r="J22" s="3">
        <v>1230.3226749631087</v>
      </c>
      <c r="K22" s="3">
        <v>1140.9402584059599</v>
      </c>
      <c r="L22" s="3">
        <v>1064.6927133576539</v>
      </c>
    </row>
    <row r="23" spans="1:12" x14ac:dyDescent="0.2">
      <c r="A23" t="s">
        <v>43</v>
      </c>
      <c r="B23" t="s">
        <v>469</v>
      </c>
      <c r="C23" t="s">
        <v>126</v>
      </c>
      <c r="D23" t="s">
        <v>131</v>
      </c>
      <c r="E23" s="1">
        <v>0.15</v>
      </c>
      <c r="F23" t="s">
        <v>446</v>
      </c>
      <c r="G23" s="3">
        <v>1147.5019555827635</v>
      </c>
      <c r="H23" s="3">
        <v>1411.4274053667991</v>
      </c>
      <c r="I23" s="3">
        <v>1377.0023466993161</v>
      </c>
      <c r="J23" s="3">
        <v>1342.5772880318332</v>
      </c>
      <c r="K23" s="3">
        <v>1245.0396218072983</v>
      </c>
      <c r="L23" s="3">
        <v>1161.8352524713359</v>
      </c>
    </row>
    <row r="24" spans="1:12" x14ac:dyDescent="0.2">
      <c r="A24" t="s">
        <v>45</v>
      </c>
      <c r="B24" t="s">
        <v>470</v>
      </c>
      <c r="C24" t="s">
        <v>126</v>
      </c>
      <c r="D24" t="s">
        <v>131</v>
      </c>
      <c r="E24" s="1">
        <v>0.15</v>
      </c>
      <c r="F24" t="s">
        <v>446</v>
      </c>
      <c r="G24" s="3">
        <v>918.83631322133976</v>
      </c>
      <c r="H24" s="3">
        <v>1130.1686652622479</v>
      </c>
      <c r="I24" s="3">
        <v>1102.6035758656076</v>
      </c>
      <c r="J24" s="3">
        <v>1075.0384864689674</v>
      </c>
      <c r="K24" s="3">
        <v>996.93739984515355</v>
      </c>
      <c r="L24" s="3">
        <v>930.31337746975271</v>
      </c>
    </row>
    <row r="25" spans="1:12" x14ac:dyDescent="0.2">
      <c r="A25" t="s">
        <v>46</v>
      </c>
      <c r="B25" t="s">
        <v>471</v>
      </c>
      <c r="C25" t="s">
        <v>126</v>
      </c>
      <c r="D25" t="s">
        <v>131</v>
      </c>
      <c r="E25" s="1">
        <v>0.15</v>
      </c>
      <c r="F25" t="s">
        <v>446</v>
      </c>
      <c r="G25" s="3">
        <v>1052.2037037037037</v>
      </c>
      <c r="H25" s="3">
        <v>1294.2105555555556</v>
      </c>
      <c r="I25" s="3">
        <v>1262.6444444444444</v>
      </c>
      <c r="J25" s="3">
        <v>1231.0783333333331</v>
      </c>
      <c r="K25" s="3">
        <v>1141.6410185185184</v>
      </c>
      <c r="L25" s="3">
        <v>1065.3466425885281</v>
      </c>
    </row>
    <row r="26" spans="1:12" x14ac:dyDescent="0.2">
      <c r="A26" t="s">
        <v>48</v>
      </c>
      <c r="B26" t="s">
        <v>472</v>
      </c>
      <c r="C26" t="s">
        <v>126</v>
      </c>
      <c r="D26" t="s">
        <v>131</v>
      </c>
      <c r="E26" s="1">
        <v>0.15</v>
      </c>
      <c r="F26" t="s">
        <v>446</v>
      </c>
      <c r="G26" s="3">
        <v>1092.1074074074072</v>
      </c>
      <c r="H26" s="3">
        <v>1343.2921111111109</v>
      </c>
      <c r="I26" s="3">
        <v>1310.5288888888886</v>
      </c>
      <c r="J26" s="3">
        <v>1277.7656666666664</v>
      </c>
      <c r="K26" s="3">
        <v>1184.9365370370369</v>
      </c>
      <c r="L26" s="3">
        <v>1105.7487782376904</v>
      </c>
    </row>
    <row r="27" spans="1:12" x14ac:dyDescent="0.2">
      <c r="A27" t="s">
        <v>50</v>
      </c>
      <c r="B27" t="s">
        <v>473</v>
      </c>
      <c r="C27" t="s">
        <v>126</v>
      </c>
      <c r="D27" t="s">
        <v>131</v>
      </c>
      <c r="E27" s="1">
        <v>0.15</v>
      </c>
      <c r="F27" t="s">
        <v>446</v>
      </c>
      <c r="G27" s="3">
        <v>916.57313879536082</v>
      </c>
      <c r="H27" s="3">
        <v>1127.3849607182938</v>
      </c>
      <c r="I27" s="3">
        <v>1099.887766554433</v>
      </c>
      <c r="J27" s="3">
        <v>1072.3905723905721</v>
      </c>
      <c r="K27" s="3">
        <v>994.48185559296644</v>
      </c>
      <c r="L27" s="3">
        <v>928.02193402793432</v>
      </c>
    </row>
    <row r="28" spans="1:12" x14ac:dyDescent="0.2">
      <c r="A28" t="s">
        <v>51</v>
      </c>
      <c r="B28" t="s">
        <v>474</v>
      </c>
      <c r="C28" t="s">
        <v>126</v>
      </c>
      <c r="D28" t="s">
        <v>131</v>
      </c>
      <c r="E28" s="1">
        <v>0.15</v>
      </c>
      <c r="F28" t="s">
        <v>446</v>
      </c>
      <c r="G28" s="3">
        <v>1069.9588477366253</v>
      </c>
      <c r="H28" s="3">
        <v>1316.0493827160492</v>
      </c>
      <c r="I28" s="3">
        <v>1283.9506172839504</v>
      </c>
      <c r="J28" s="3">
        <v>1251.8518518518515</v>
      </c>
      <c r="K28" s="3">
        <v>1160.9053497942384</v>
      </c>
      <c r="L28" s="3">
        <v>1083.3235638040376</v>
      </c>
    </row>
    <row r="29" spans="1:12" x14ac:dyDescent="0.2">
      <c r="A29" t="s">
        <v>55</v>
      </c>
      <c r="B29" t="s">
        <v>475</v>
      </c>
      <c r="C29" t="s">
        <v>126</v>
      </c>
      <c r="D29" t="s">
        <v>131</v>
      </c>
      <c r="E29" s="1">
        <v>0.15</v>
      </c>
      <c r="F29" t="s">
        <v>446</v>
      </c>
      <c r="G29" s="3">
        <v>456.0759106213651</v>
      </c>
      <c r="H29" s="3">
        <v>560.97337006427904</v>
      </c>
      <c r="I29" s="3">
        <v>547.29109274563814</v>
      </c>
      <c r="J29" s="3">
        <v>533.60881542699713</v>
      </c>
      <c r="K29" s="3">
        <v>494.84236302418111</v>
      </c>
      <c r="L29" s="3">
        <v>461.77269518792582</v>
      </c>
    </row>
    <row r="30" spans="1:12" x14ac:dyDescent="0.2">
      <c r="A30" t="s">
        <v>450</v>
      </c>
      <c r="B30" t="s">
        <v>476</v>
      </c>
      <c r="C30" t="s">
        <v>126</v>
      </c>
      <c r="D30" t="s">
        <v>131</v>
      </c>
      <c r="E30" s="1">
        <v>0.15</v>
      </c>
      <c r="F30" t="s">
        <v>446</v>
      </c>
      <c r="G30" s="3">
        <v>587.01481481481483</v>
      </c>
      <c r="H30" s="3">
        <v>722.02822222222221</v>
      </c>
      <c r="I30" s="3">
        <v>704.41777777777781</v>
      </c>
      <c r="J30" s="3">
        <v>686.8073333333333</v>
      </c>
      <c r="K30" s="3">
        <v>636.91107407407412</v>
      </c>
      <c r="L30" s="3">
        <v>594.34714011308256</v>
      </c>
    </row>
    <row r="31" spans="1:12" x14ac:dyDescent="0.2">
      <c r="A31" t="s">
        <v>58</v>
      </c>
      <c r="B31" t="s">
        <v>291</v>
      </c>
      <c r="C31" t="s">
        <v>126</v>
      </c>
      <c r="D31" t="s">
        <v>131</v>
      </c>
      <c r="E31" s="1">
        <v>0.15</v>
      </c>
      <c r="F31" t="s">
        <v>446</v>
      </c>
      <c r="G31" s="3">
        <v>923.71526714961033</v>
      </c>
      <c r="H31" s="3">
        <v>1136.1697785940207</v>
      </c>
      <c r="I31" s="3">
        <v>1108.4583205795323</v>
      </c>
      <c r="J31" s="3">
        <v>1080.746862565044</v>
      </c>
      <c r="K31" s="3">
        <v>1002.2310648573272</v>
      </c>
      <c r="L31" s="3">
        <v>935.25327377360645</v>
      </c>
    </row>
    <row r="32" spans="1:12" x14ac:dyDescent="0.2">
      <c r="A32" t="s">
        <v>59</v>
      </c>
      <c r="B32" t="s">
        <v>477</v>
      </c>
      <c r="C32" t="s">
        <v>126</v>
      </c>
      <c r="D32" t="s">
        <v>131</v>
      </c>
      <c r="E32" s="1">
        <v>0.15</v>
      </c>
      <c r="F32" t="s">
        <v>446</v>
      </c>
      <c r="G32" s="3">
        <v>668.63925449784017</v>
      </c>
      <c r="H32" s="3">
        <v>822.42628303234335</v>
      </c>
      <c r="I32" s="3">
        <v>802.36710539740818</v>
      </c>
      <c r="J32" s="3">
        <v>782.3079277624729</v>
      </c>
      <c r="K32" s="3">
        <v>725.47359113015659</v>
      </c>
      <c r="L32" s="3">
        <v>676.99113999959877</v>
      </c>
    </row>
    <row r="33" spans="1:12" x14ac:dyDescent="0.2">
      <c r="A33" t="s">
        <v>62</v>
      </c>
      <c r="B33" t="s">
        <v>169</v>
      </c>
      <c r="F33" t="s">
        <v>446</v>
      </c>
      <c r="G33" s="3">
        <v>705.37020031969519</v>
      </c>
      <c r="H33" s="3">
        <v>867.60534639322509</v>
      </c>
      <c r="I33" s="3">
        <v>846.44424038363422</v>
      </c>
      <c r="J33" s="3">
        <v>825.28313437404336</v>
      </c>
      <c r="K33" s="3">
        <v>765.32666734686927</v>
      </c>
      <c r="L33" s="3">
        <v>714.18088726305598</v>
      </c>
    </row>
    <row r="34" spans="1:12" x14ac:dyDescent="0.2">
      <c r="A34" t="s">
        <v>63</v>
      </c>
      <c r="B34" t="s">
        <v>171</v>
      </c>
      <c r="F34" t="s">
        <v>446</v>
      </c>
      <c r="G34" s="3">
        <v>757.40570690065624</v>
      </c>
      <c r="H34" s="3">
        <v>931.60901948780713</v>
      </c>
      <c r="I34" s="3">
        <v>908.88684828078749</v>
      </c>
      <c r="J34" s="3">
        <v>886.16467707376773</v>
      </c>
      <c r="K34" s="3">
        <v>821.78519198721199</v>
      </c>
      <c r="L34" s="3">
        <v>766.86636255295355</v>
      </c>
    </row>
    <row r="35" spans="1:12" x14ac:dyDescent="0.2">
      <c r="A35" t="s">
        <v>64</v>
      </c>
      <c r="B35" t="s">
        <v>172</v>
      </c>
      <c r="F35" t="s">
        <v>446</v>
      </c>
      <c r="G35" s="3">
        <v>787.33462571846383</v>
      </c>
      <c r="H35" s="3">
        <v>968.42158963371048</v>
      </c>
      <c r="I35" s="3">
        <v>944.80155086215655</v>
      </c>
      <c r="J35" s="3">
        <v>921.18151209060261</v>
      </c>
      <c r="K35" s="3">
        <v>854.25806890453327</v>
      </c>
      <c r="L35" s="3">
        <v>797.16911958243702</v>
      </c>
    </row>
    <row r="36" spans="1:12" x14ac:dyDescent="0.2">
      <c r="A36" t="s">
        <v>65</v>
      </c>
      <c r="B36" t="s">
        <v>173</v>
      </c>
      <c r="F36" t="s">
        <v>446</v>
      </c>
      <c r="G36" s="3">
        <v>1057.7151991293404</v>
      </c>
      <c r="H36" s="3">
        <v>1300.9896949290887</v>
      </c>
      <c r="I36" s="3">
        <v>1269.2582389552083</v>
      </c>
      <c r="J36" s="3">
        <v>1237.5267829813281</v>
      </c>
      <c r="K36" s="3">
        <v>1147.6209910553343</v>
      </c>
      <c r="L36" s="3">
        <v>1070.9269813828853</v>
      </c>
    </row>
    <row r="37" spans="1:12" x14ac:dyDescent="0.2">
      <c r="A37" t="s">
        <v>66</v>
      </c>
      <c r="B37" t="s">
        <v>174</v>
      </c>
      <c r="F37" t="s">
        <v>446</v>
      </c>
      <c r="G37" s="3">
        <v>1107.7100976090874</v>
      </c>
      <c r="H37" s="3">
        <v>1362.4834200591774</v>
      </c>
      <c r="I37" s="3">
        <v>1329.2521171309047</v>
      </c>
      <c r="J37" s="3">
        <v>1296.0208142026322</v>
      </c>
      <c r="K37" s="3">
        <v>1201.8654559058598</v>
      </c>
      <c r="L37" s="3">
        <v>1121.5463596025909</v>
      </c>
    </row>
    <row r="38" spans="1:12" x14ac:dyDescent="0.2">
      <c r="A38" t="s">
        <v>67</v>
      </c>
      <c r="B38" t="s">
        <v>175</v>
      </c>
      <c r="F38" t="s">
        <v>446</v>
      </c>
      <c r="G38" s="3">
        <v>1143.4207393803351</v>
      </c>
      <c r="H38" s="3">
        <v>1406.4075094378122</v>
      </c>
      <c r="I38" s="3">
        <v>1372.1048872564022</v>
      </c>
      <c r="J38" s="3">
        <v>1337.802265074992</v>
      </c>
      <c r="K38" s="3">
        <v>1240.6115022276636</v>
      </c>
      <c r="L38" s="3">
        <v>1157.703058330952</v>
      </c>
    </row>
    <row r="39" spans="1:12" x14ac:dyDescent="0.2">
      <c r="A39" t="s">
        <v>68</v>
      </c>
      <c r="B39" t="s">
        <v>180</v>
      </c>
      <c r="C39" t="s">
        <v>126</v>
      </c>
      <c r="D39" t="s">
        <v>131</v>
      </c>
      <c r="E39" s="1">
        <v>0.15</v>
      </c>
      <c r="F39" t="s">
        <v>446</v>
      </c>
      <c r="G39" s="3">
        <v>66.961138211382121</v>
      </c>
      <c r="H39" s="3">
        <v>82.362200000000001</v>
      </c>
      <c r="I39" s="3">
        <v>80.353365853658545</v>
      </c>
      <c r="J39" s="3">
        <v>78.344531707317074</v>
      </c>
      <c r="K39" s="3">
        <v>72.652834959349605</v>
      </c>
      <c r="L39" s="3">
        <v>67.797541033452305</v>
      </c>
    </row>
    <row r="40" spans="1:12" x14ac:dyDescent="0.2">
      <c r="A40" t="s">
        <v>69</v>
      </c>
      <c r="B40" t="s">
        <v>181</v>
      </c>
      <c r="C40" t="s">
        <v>126</v>
      </c>
      <c r="D40" t="s">
        <v>127</v>
      </c>
      <c r="E40" s="1">
        <v>0.15</v>
      </c>
      <c r="F40" t="s">
        <v>446</v>
      </c>
      <c r="G40" s="3">
        <v>171.1033361144778</v>
      </c>
      <c r="H40" s="3">
        <v>210.4571034208077</v>
      </c>
      <c r="I40" s="3">
        <v>205.32400333737334</v>
      </c>
      <c r="J40" s="3">
        <v>200.19090325393901</v>
      </c>
      <c r="K40" s="3">
        <v>185.64711968420841</v>
      </c>
      <c r="L40" s="3">
        <v>173.24056551371532</v>
      </c>
    </row>
    <row r="41" spans="1:12" x14ac:dyDescent="0.2">
      <c r="A41" t="s">
        <v>71</v>
      </c>
      <c r="B41" t="s">
        <v>183</v>
      </c>
      <c r="C41" t="s">
        <v>126</v>
      </c>
      <c r="D41" t="s">
        <v>127</v>
      </c>
      <c r="E41" s="1">
        <v>0.15</v>
      </c>
      <c r="F41" t="s">
        <v>446</v>
      </c>
      <c r="G41" s="3">
        <v>151.64174943789263</v>
      </c>
      <c r="H41" s="3">
        <v>186.51935180860792</v>
      </c>
      <c r="I41" s="3">
        <v>181.97009932547115</v>
      </c>
      <c r="J41" s="3">
        <v>177.42084684233436</v>
      </c>
      <c r="K41" s="3">
        <v>164.53129814011351</v>
      </c>
      <c r="L41" s="3">
        <v>153.53588670260169</v>
      </c>
    </row>
    <row r="42" spans="1:12" x14ac:dyDescent="0.2">
      <c r="A42" t="s">
        <v>451</v>
      </c>
      <c r="B42" t="s">
        <v>478</v>
      </c>
      <c r="C42" t="s">
        <v>126</v>
      </c>
      <c r="D42" t="s">
        <v>127</v>
      </c>
      <c r="E42" s="1">
        <v>9.7500000000000003E-2</v>
      </c>
      <c r="F42" t="s">
        <v>446</v>
      </c>
      <c r="G42" s="3">
        <v>136.95426602180771</v>
      </c>
      <c r="H42" s="3">
        <v>168.45374720682349</v>
      </c>
      <c r="I42" s="3">
        <v>164.34511922616926</v>
      </c>
      <c r="J42" s="3">
        <v>160.23649124551503</v>
      </c>
      <c r="K42" s="3">
        <v>148.59537863366137</v>
      </c>
      <c r="L42" s="3">
        <v>138.66494385158987</v>
      </c>
    </row>
    <row r="43" spans="1:12" x14ac:dyDescent="0.2">
      <c r="A43" t="s">
        <v>73</v>
      </c>
      <c r="B43" t="s">
        <v>479</v>
      </c>
      <c r="C43" t="s">
        <v>126</v>
      </c>
      <c r="D43" t="s">
        <v>127</v>
      </c>
      <c r="E43" s="1">
        <v>9.7500000000000003E-2</v>
      </c>
      <c r="F43" t="s">
        <v>446</v>
      </c>
      <c r="G43" s="3">
        <v>67.901694918375256</v>
      </c>
      <c r="H43" s="3">
        <v>83.519084749601561</v>
      </c>
      <c r="I43" s="3">
        <v>81.482033902050304</v>
      </c>
      <c r="J43" s="3">
        <v>79.444983054499048</v>
      </c>
      <c r="K43" s="3">
        <v>73.673338986437159</v>
      </c>
      <c r="L43" s="3">
        <v>68.74984611129247</v>
      </c>
    </row>
    <row r="44" spans="1:12" x14ac:dyDescent="0.2">
      <c r="A44" t="s">
        <v>74</v>
      </c>
      <c r="B44" t="s">
        <v>186</v>
      </c>
      <c r="C44" t="s">
        <v>126</v>
      </c>
      <c r="D44" t="s">
        <v>127</v>
      </c>
      <c r="E44" s="1">
        <v>9.7500000000000003E-2</v>
      </c>
      <c r="F44" t="s">
        <v>446</v>
      </c>
      <c r="G44" s="3">
        <v>119.06504660127848</v>
      </c>
      <c r="H44" s="3">
        <v>146.45000731957253</v>
      </c>
      <c r="I44" s="3">
        <v>142.87805592153418</v>
      </c>
      <c r="J44" s="3">
        <v>139.3061045234958</v>
      </c>
      <c r="K44" s="3">
        <v>129.18557556238716</v>
      </c>
      <c r="L44" s="3">
        <v>120.55227253033684</v>
      </c>
    </row>
    <row r="45" spans="1:12" x14ac:dyDescent="0.2">
      <c r="A45" t="s">
        <v>75</v>
      </c>
      <c r="B45" t="s">
        <v>187</v>
      </c>
      <c r="C45" t="s">
        <v>126</v>
      </c>
      <c r="D45" t="s">
        <v>127</v>
      </c>
      <c r="E45" s="1">
        <v>9.7500000000000003E-2</v>
      </c>
      <c r="F45" t="s">
        <v>446</v>
      </c>
      <c r="G45" s="3">
        <v>132.07762000032534</v>
      </c>
      <c r="H45" s="3">
        <v>162.45547260040016</v>
      </c>
      <c r="I45" s="3">
        <v>158.4931440003904</v>
      </c>
      <c r="J45" s="3">
        <v>154.53081540038065</v>
      </c>
      <c r="K45" s="3">
        <v>143.30421770035298</v>
      </c>
      <c r="L45" s="3">
        <v>133.72738428228624</v>
      </c>
    </row>
    <row r="46" spans="1:12" x14ac:dyDescent="0.2">
      <c r="A46" t="s">
        <v>76</v>
      </c>
      <c r="B46" t="s">
        <v>188</v>
      </c>
      <c r="C46" t="s">
        <v>126</v>
      </c>
      <c r="D46" t="s">
        <v>127</v>
      </c>
      <c r="E46" s="1">
        <v>9.7500000000000003E-2</v>
      </c>
      <c r="F46" t="s">
        <v>446</v>
      </c>
      <c r="G46" s="3">
        <v>47.758913007139952</v>
      </c>
      <c r="H46" s="3">
        <v>58.743462998782142</v>
      </c>
      <c r="I46" s="3">
        <v>57.31069560856794</v>
      </c>
      <c r="J46" s="3">
        <v>55.877928218353738</v>
      </c>
      <c r="K46" s="3">
        <v>51.818420612746849</v>
      </c>
      <c r="L46" s="3">
        <v>48.355463344920594</v>
      </c>
    </row>
    <row r="47" spans="1:12" x14ac:dyDescent="0.2">
      <c r="A47" t="s">
        <v>452</v>
      </c>
      <c r="B47" t="s">
        <v>189</v>
      </c>
      <c r="C47" t="s">
        <v>190</v>
      </c>
      <c r="D47" t="s">
        <v>127</v>
      </c>
      <c r="E47" s="1">
        <v>0.15</v>
      </c>
      <c r="F47" t="s">
        <v>446</v>
      </c>
      <c r="G47" s="3">
        <v>276.28737839059113</v>
      </c>
      <c r="H47" s="3">
        <v>339.83347542042708</v>
      </c>
      <c r="I47" s="3">
        <v>331.54485406870936</v>
      </c>
      <c r="J47" s="3">
        <v>323.25623271699158</v>
      </c>
      <c r="K47" s="3">
        <v>299.77180555379135</v>
      </c>
      <c r="L47" s="3">
        <v>279.73844790883572</v>
      </c>
    </row>
    <row r="48" spans="1:12" x14ac:dyDescent="0.2">
      <c r="A48" t="s">
        <v>82</v>
      </c>
      <c r="B48" t="s">
        <v>195</v>
      </c>
      <c r="C48" t="s">
        <v>190</v>
      </c>
      <c r="D48" t="s">
        <v>127</v>
      </c>
      <c r="E48" s="1">
        <v>0.15</v>
      </c>
      <c r="F48" t="s">
        <v>446</v>
      </c>
      <c r="G48" s="3">
        <v>212.59819525158423</v>
      </c>
      <c r="H48" s="3">
        <v>261.4957801594486</v>
      </c>
      <c r="I48" s="3">
        <v>255.11783430190107</v>
      </c>
      <c r="J48" s="3">
        <v>248.73988844435354</v>
      </c>
      <c r="K48" s="3">
        <v>230.66904184796888</v>
      </c>
      <c r="L48" s="3">
        <v>215.25373151075175</v>
      </c>
    </row>
    <row r="49" spans="1:12" x14ac:dyDescent="0.2">
      <c r="A49" t="s">
        <v>83</v>
      </c>
      <c r="B49" t="s">
        <v>480</v>
      </c>
      <c r="C49" t="s">
        <v>190</v>
      </c>
      <c r="D49" t="s">
        <v>127</v>
      </c>
      <c r="E49" s="1">
        <v>0.15</v>
      </c>
      <c r="F49" t="s">
        <v>446</v>
      </c>
      <c r="G49" s="3">
        <v>178.52903103513472</v>
      </c>
      <c r="H49" s="3">
        <v>219.59070817321572</v>
      </c>
      <c r="I49" s="3">
        <v>214.23483724216166</v>
      </c>
      <c r="J49" s="3">
        <v>208.8789663111076</v>
      </c>
      <c r="K49" s="3">
        <v>193.70399867312116</v>
      </c>
      <c r="L49" s="3">
        <v>180.75901381869889</v>
      </c>
    </row>
    <row r="50" spans="1:12" x14ac:dyDescent="0.2">
      <c r="A50" t="s">
        <v>84</v>
      </c>
      <c r="B50" t="s">
        <v>197</v>
      </c>
      <c r="C50" t="s">
        <v>190</v>
      </c>
      <c r="D50" t="s">
        <v>127</v>
      </c>
      <c r="E50" s="1">
        <v>0.15</v>
      </c>
      <c r="F50" t="s">
        <v>446</v>
      </c>
      <c r="G50" s="3">
        <v>154.45292352293393</v>
      </c>
      <c r="H50" s="3">
        <v>189.97709593320874</v>
      </c>
      <c r="I50" s="3">
        <v>185.34350822752072</v>
      </c>
      <c r="J50" s="3">
        <v>180.70992052183269</v>
      </c>
      <c r="K50" s="3">
        <v>167.58142202238332</v>
      </c>
      <c r="L50" s="3">
        <v>156.38217479557156</v>
      </c>
    </row>
    <row r="51" spans="1:12" x14ac:dyDescent="0.2">
      <c r="A51" t="s">
        <v>85</v>
      </c>
      <c r="B51" t="s">
        <v>198</v>
      </c>
      <c r="C51" t="s">
        <v>190</v>
      </c>
      <c r="D51" t="s">
        <v>127</v>
      </c>
      <c r="E51" s="1">
        <v>0.15</v>
      </c>
      <c r="F51" t="s">
        <v>446</v>
      </c>
      <c r="G51" s="3">
        <v>230.18300695292336</v>
      </c>
      <c r="H51" s="3">
        <v>283.12509855209572</v>
      </c>
      <c r="I51" s="3">
        <v>276.21960834350801</v>
      </c>
      <c r="J51" s="3">
        <v>269.31411813492031</v>
      </c>
      <c r="K51" s="3">
        <v>249.74856254392182</v>
      </c>
      <c r="L51" s="3">
        <v>233.05819279579634</v>
      </c>
    </row>
    <row r="52" spans="1:12" x14ac:dyDescent="0.2">
      <c r="A52" t="s">
        <v>86</v>
      </c>
      <c r="B52" t="s">
        <v>481</v>
      </c>
      <c r="C52" t="s">
        <v>190</v>
      </c>
      <c r="D52" t="s">
        <v>127</v>
      </c>
      <c r="E52" s="1">
        <v>0.15</v>
      </c>
      <c r="F52" t="s">
        <v>446</v>
      </c>
      <c r="G52" s="3">
        <v>249.50173740986426</v>
      </c>
      <c r="H52" s="3">
        <v>306.88713701413303</v>
      </c>
      <c r="I52" s="3">
        <v>299.40208489183709</v>
      </c>
      <c r="J52" s="3">
        <v>291.91703276954115</v>
      </c>
      <c r="K52" s="3">
        <v>270.70938508970272</v>
      </c>
      <c r="L52" s="3">
        <v>252.61823098890488</v>
      </c>
    </row>
    <row r="53" spans="1:12" x14ac:dyDescent="0.2">
      <c r="A53" t="s">
        <v>87</v>
      </c>
      <c r="B53" t="s">
        <v>200</v>
      </c>
      <c r="C53" t="s">
        <v>482</v>
      </c>
      <c r="D53" t="s">
        <v>127</v>
      </c>
      <c r="E53" s="1">
        <v>0.15</v>
      </c>
      <c r="F53" t="s">
        <v>446</v>
      </c>
      <c r="G53" s="3">
        <v>1116.5573916369542</v>
      </c>
      <c r="H53" s="3">
        <v>1373.3655917134536</v>
      </c>
      <c r="I53" s="3">
        <v>1339.8688699643451</v>
      </c>
      <c r="J53" s="3">
        <v>1306.3721482152364</v>
      </c>
      <c r="K53" s="3">
        <v>1211.4647699260954</v>
      </c>
      <c r="L53" s="3">
        <v>1130.5041640233551</v>
      </c>
    </row>
    <row r="54" spans="1:12" x14ac:dyDescent="0.2">
      <c r="A54" t="s">
        <v>89</v>
      </c>
      <c r="B54" t="s">
        <v>202</v>
      </c>
      <c r="C54" t="s">
        <v>126</v>
      </c>
      <c r="D54" t="s">
        <v>127</v>
      </c>
      <c r="E54" s="1">
        <v>0.15</v>
      </c>
      <c r="F54" t="s">
        <v>446</v>
      </c>
      <c r="G54" s="3">
        <v>0</v>
      </c>
      <c r="H54" s="3"/>
      <c r="I54" s="3"/>
      <c r="J54" s="3"/>
      <c r="K54" s="3">
        <v>0</v>
      </c>
      <c r="L54" s="3">
        <v>0</v>
      </c>
    </row>
    <row r="55" spans="1:12" x14ac:dyDescent="0.2">
      <c r="A55" t="s">
        <v>90</v>
      </c>
      <c r="B55" t="s">
        <v>203</v>
      </c>
      <c r="C55" t="s">
        <v>126</v>
      </c>
      <c r="D55" t="s">
        <v>127</v>
      </c>
      <c r="E55" s="1">
        <v>0.15</v>
      </c>
      <c r="F55" t="s">
        <v>446</v>
      </c>
      <c r="G55" s="3">
        <v>290.22783064971719</v>
      </c>
      <c r="H55" s="3">
        <v>356.98023169915211</v>
      </c>
      <c r="I55" s="3">
        <v>348.27339677966063</v>
      </c>
      <c r="J55" s="3">
        <v>339.56656186016909</v>
      </c>
      <c r="K55" s="3">
        <v>314.89719625494314</v>
      </c>
      <c r="L55" s="3">
        <v>293.85302853438321</v>
      </c>
    </row>
    <row r="56" spans="1:12" x14ac:dyDescent="0.2">
      <c r="A56" t="s">
        <v>91</v>
      </c>
      <c r="B56" t="s">
        <v>204</v>
      </c>
      <c r="C56" t="s">
        <v>126</v>
      </c>
      <c r="D56" t="s">
        <v>127</v>
      </c>
      <c r="E56" s="1">
        <v>0.15</v>
      </c>
      <c r="F56" t="s">
        <v>446</v>
      </c>
      <c r="G56" s="3">
        <v>14.842960231691736</v>
      </c>
      <c r="H56" s="3">
        <v>18.256841084980834</v>
      </c>
      <c r="I56" s="3">
        <v>17.811552278030081</v>
      </c>
      <c r="J56" s="3">
        <v>17.366263471079328</v>
      </c>
      <c r="K56" s="3">
        <v>16.104611851385531</v>
      </c>
      <c r="L56" s="3">
        <v>15.028361707193421</v>
      </c>
    </row>
    <row r="57" spans="1:12" x14ac:dyDescent="0.2">
      <c r="A57" t="s">
        <v>92</v>
      </c>
      <c r="B57" t="s">
        <v>205</v>
      </c>
      <c r="C57" t="s">
        <v>126</v>
      </c>
      <c r="D57" t="s">
        <v>127</v>
      </c>
      <c r="E57" s="1">
        <v>0.15</v>
      </c>
      <c r="F57" t="s">
        <v>446</v>
      </c>
      <c r="G57" s="3">
        <v>119.40802175302653</v>
      </c>
      <c r="H57" s="3">
        <v>146.87186675622263</v>
      </c>
      <c r="I57" s="3">
        <v>143.28962610363183</v>
      </c>
      <c r="J57" s="3">
        <v>139.70738545104103</v>
      </c>
      <c r="K57" s="3">
        <v>129.55770360203377</v>
      </c>
      <c r="L57" s="3">
        <v>120.89953173986055</v>
      </c>
    </row>
    <row r="58" spans="1:12" x14ac:dyDescent="0.2">
      <c r="A58" t="s">
        <v>93</v>
      </c>
      <c r="B58" t="s">
        <v>206</v>
      </c>
      <c r="C58" t="s">
        <v>126</v>
      </c>
      <c r="D58" t="s">
        <v>127</v>
      </c>
      <c r="E58" s="1">
        <v>0.15</v>
      </c>
      <c r="F58" t="s">
        <v>446</v>
      </c>
      <c r="G58" s="3">
        <v>127.28563429923317</v>
      </c>
      <c r="H58" s="3">
        <v>156.56133018805679</v>
      </c>
      <c r="I58" s="3">
        <v>152.74276115907981</v>
      </c>
      <c r="J58" s="3">
        <v>148.9241921301028</v>
      </c>
      <c r="K58" s="3">
        <v>138.10491321466799</v>
      </c>
      <c r="L58" s="3">
        <v>128.87554251436526</v>
      </c>
    </row>
    <row r="59" spans="1:12" x14ac:dyDescent="0.2">
      <c r="A59" t="s">
        <v>94</v>
      </c>
      <c r="B59" t="s">
        <v>207</v>
      </c>
      <c r="C59" t="s">
        <v>126</v>
      </c>
      <c r="D59" t="s">
        <v>127</v>
      </c>
      <c r="E59" s="1">
        <v>0.15</v>
      </c>
      <c r="F59" t="s">
        <v>446</v>
      </c>
      <c r="G59" s="3">
        <v>114.43268751331709</v>
      </c>
      <c r="H59" s="3">
        <v>140.75220564138002</v>
      </c>
      <c r="I59" s="3">
        <v>137.31922501598049</v>
      </c>
      <c r="J59" s="3">
        <v>133.886244390581</v>
      </c>
      <c r="K59" s="3">
        <v>124.15946595194904</v>
      </c>
      <c r="L59" s="3">
        <v>115.86205125069969</v>
      </c>
    </row>
    <row r="60" spans="1:12" x14ac:dyDescent="0.2">
      <c r="A60" t="s">
        <v>257</v>
      </c>
      <c r="B60" t="s">
        <v>483</v>
      </c>
      <c r="C60" t="s">
        <v>126</v>
      </c>
      <c r="D60" t="s">
        <v>127</v>
      </c>
      <c r="E60" s="1">
        <v>0.15</v>
      </c>
      <c r="F60" t="s">
        <v>446</v>
      </c>
      <c r="G60" s="3">
        <v>342.46763023185787</v>
      </c>
      <c r="H60" s="3">
        <v>421.23518518518517</v>
      </c>
      <c r="I60" s="3">
        <v>410.96115627822945</v>
      </c>
      <c r="J60" s="3">
        <v>400.68712737127368</v>
      </c>
      <c r="K60" s="3">
        <v>371.57737880156577</v>
      </c>
      <c r="L60" s="3">
        <v>346.7453486226263</v>
      </c>
    </row>
    <row r="61" spans="1:12" x14ac:dyDescent="0.2">
      <c r="A61" t="s">
        <v>96</v>
      </c>
      <c r="B61" t="s">
        <v>209</v>
      </c>
      <c r="C61" t="s">
        <v>126</v>
      </c>
      <c r="D61" t="s">
        <v>127</v>
      </c>
      <c r="E61" s="1">
        <v>9.7500000000000003E-2</v>
      </c>
      <c r="F61" t="s">
        <v>446</v>
      </c>
      <c r="G61" s="3">
        <v>65.418869622999836</v>
      </c>
      <c r="H61" s="3">
        <v>80.465209636289799</v>
      </c>
      <c r="I61" s="3">
        <v>78.502643547599803</v>
      </c>
      <c r="J61" s="3">
        <v>76.540077458909806</v>
      </c>
      <c r="K61" s="3">
        <v>70.979473540954814</v>
      </c>
      <c r="L61" s="3">
        <v>66.236008169787823</v>
      </c>
    </row>
    <row r="62" spans="1:12" x14ac:dyDescent="0.2">
      <c r="A62" t="s">
        <v>97</v>
      </c>
      <c r="B62" t="s">
        <v>210</v>
      </c>
      <c r="C62" t="s">
        <v>126</v>
      </c>
      <c r="D62" t="s">
        <v>127</v>
      </c>
      <c r="E62" s="1">
        <v>9.7500000000000003E-2</v>
      </c>
      <c r="F62" t="s">
        <v>446</v>
      </c>
      <c r="G62" s="3">
        <v>45.765072774295433</v>
      </c>
      <c r="H62" s="3">
        <v>56.291039512383385</v>
      </c>
      <c r="I62" s="3">
        <v>54.918087329154517</v>
      </c>
      <c r="J62" s="3">
        <v>53.545135145925656</v>
      </c>
      <c r="K62" s="3">
        <v>49.655103960110544</v>
      </c>
      <c r="L62" s="3">
        <v>46.336718314426975</v>
      </c>
    </row>
    <row r="63" spans="1:12" x14ac:dyDescent="0.2">
      <c r="A63" t="s">
        <v>98</v>
      </c>
      <c r="B63" t="s">
        <v>211</v>
      </c>
      <c r="C63" t="s">
        <v>126</v>
      </c>
      <c r="D63" t="s">
        <v>127</v>
      </c>
      <c r="E63" s="1">
        <v>9.7500000000000003E-2</v>
      </c>
      <c r="F63" t="s">
        <v>446</v>
      </c>
      <c r="G63" s="3">
        <v>59.3972221113196</v>
      </c>
      <c r="H63" s="3">
        <v>73.058583196923109</v>
      </c>
      <c r="I63" s="3">
        <v>71.276666533583523</v>
      </c>
      <c r="J63" s="3">
        <v>69.494749870243922</v>
      </c>
      <c r="K63" s="3">
        <v>64.445985990781764</v>
      </c>
      <c r="L63" s="3">
        <v>60.139145046383938</v>
      </c>
    </row>
    <row r="64" spans="1:12" x14ac:dyDescent="0.2">
      <c r="A64" s="13" t="s">
        <v>99</v>
      </c>
      <c r="B64" t="s">
        <v>212</v>
      </c>
      <c r="C64" t="s">
        <v>126</v>
      </c>
      <c r="D64" t="s">
        <v>213</v>
      </c>
      <c r="E64" s="1">
        <v>9.7500000000000003E-2</v>
      </c>
      <c r="F64" t="s">
        <v>446</v>
      </c>
      <c r="G64" s="3">
        <v>8.4345952563776123</v>
      </c>
      <c r="H64" s="3">
        <v>10.374552165344463</v>
      </c>
      <c r="I64" s="3">
        <v>10.121514307653134</v>
      </c>
      <c r="J64" s="3">
        <v>9.8684764499618058</v>
      </c>
      <c r="K64" s="3">
        <v>9.1515358531697082</v>
      </c>
      <c r="L64" s="3">
        <v>8.5399506828816207</v>
      </c>
    </row>
    <row r="65" spans="1:12" x14ac:dyDescent="0.2">
      <c r="A65" t="s">
        <v>100</v>
      </c>
      <c r="B65" t="s">
        <v>214</v>
      </c>
      <c r="C65" t="s">
        <v>126</v>
      </c>
      <c r="D65" t="s">
        <v>127</v>
      </c>
      <c r="E65" s="1">
        <v>9.7500000000000003E-2</v>
      </c>
      <c r="F65" t="s">
        <v>446</v>
      </c>
      <c r="G65" s="3">
        <v>120.74189412792836</v>
      </c>
      <c r="H65" s="3">
        <v>148.51252977735189</v>
      </c>
      <c r="I65" s="3">
        <v>144.89027295351403</v>
      </c>
      <c r="J65" s="3">
        <v>141.26801612967617</v>
      </c>
      <c r="K65" s="3">
        <v>131.00495512880227</v>
      </c>
      <c r="L65" s="3">
        <v>122.25006534019029</v>
      </c>
    </row>
    <row r="66" spans="1:12" x14ac:dyDescent="0.2">
      <c r="A66" s="13" t="s">
        <v>101</v>
      </c>
      <c r="B66" t="s">
        <v>484</v>
      </c>
      <c r="C66" t="s">
        <v>126</v>
      </c>
      <c r="D66" t="s">
        <v>213</v>
      </c>
      <c r="E66" s="1">
        <v>9.7500000000000003E-2</v>
      </c>
      <c r="F66" t="s">
        <v>446</v>
      </c>
      <c r="G66" s="3">
        <v>7.7011521906056455</v>
      </c>
      <c r="H66" s="3">
        <v>9.4724171944449438</v>
      </c>
      <c r="I66" s="3">
        <v>9.2413826287267735</v>
      </c>
      <c r="J66" s="3">
        <v>9.010348063008605</v>
      </c>
      <c r="K66" s="3">
        <v>8.3557501268071253</v>
      </c>
      <c r="L66" s="3">
        <v>7.7973462756745233</v>
      </c>
    </row>
    <row r="67" spans="1:12" x14ac:dyDescent="0.2">
      <c r="A67" t="s">
        <v>453</v>
      </c>
      <c r="B67" t="s">
        <v>485</v>
      </c>
      <c r="C67" t="s">
        <v>126</v>
      </c>
      <c r="D67" t="s">
        <v>213</v>
      </c>
      <c r="E67" s="1">
        <v>9.7500000000000003E-2</v>
      </c>
      <c r="F67" t="s">
        <v>446</v>
      </c>
      <c r="G67" s="3">
        <v>8.4538084574171961</v>
      </c>
      <c r="H67" s="3">
        <v>10.398184402623151</v>
      </c>
      <c r="I67" s="3">
        <v>10.144570148900636</v>
      </c>
      <c r="J67" s="3">
        <v>9.8909558951781182</v>
      </c>
      <c r="K67" s="3">
        <v>9.1723821762976563</v>
      </c>
      <c r="L67" s="3">
        <v>8.5594038735032179</v>
      </c>
    </row>
    <row r="68" spans="1:12" x14ac:dyDescent="0.2">
      <c r="A68" t="s">
        <v>103</v>
      </c>
      <c r="B68" t="s">
        <v>486</v>
      </c>
      <c r="C68" t="s">
        <v>190</v>
      </c>
      <c r="D68" t="s">
        <v>127</v>
      </c>
      <c r="E68" s="1">
        <v>0.15</v>
      </c>
      <c r="F68" t="s">
        <v>446</v>
      </c>
      <c r="G68" s="3">
        <v>186.29011160965777</v>
      </c>
      <c r="H68" s="3">
        <v>229.13683727987905</v>
      </c>
      <c r="I68" s="3">
        <v>223.54813393158932</v>
      </c>
      <c r="J68" s="3">
        <v>217.95943058329959</v>
      </c>
      <c r="K68" s="3">
        <v>202.1247710964787</v>
      </c>
      <c r="L68" s="3">
        <v>188.61703703589853</v>
      </c>
    </row>
    <row r="69" spans="1:12" x14ac:dyDescent="0.2">
      <c r="A69" t="s">
        <v>104</v>
      </c>
      <c r="B69" t="s">
        <v>487</v>
      </c>
      <c r="C69" t="s">
        <v>190</v>
      </c>
      <c r="D69" t="s">
        <v>127</v>
      </c>
      <c r="E69" s="1">
        <v>0.15</v>
      </c>
      <c r="F69" t="s">
        <v>446</v>
      </c>
      <c r="G69" s="3">
        <v>129.48950188645722</v>
      </c>
      <c r="H69" s="3">
        <v>159.27208732034237</v>
      </c>
      <c r="I69" s="3">
        <v>155.38740226374867</v>
      </c>
      <c r="J69" s="3">
        <v>151.50271720715494</v>
      </c>
      <c r="K69" s="3">
        <v>140.49610954680608</v>
      </c>
      <c r="L69" s="3">
        <v>131.10693832346041</v>
      </c>
    </row>
    <row r="70" spans="1:12" x14ac:dyDescent="0.2">
      <c r="A70" t="s">
        <v>105</v>
      </c>
      <c r="B70" t="s">
        <v>219</v>
      </c>
      <c r="C70" t="s">
        <v>190</v>
      </c>
      <c r="D70" t="s">
        <v>127</v>
      </c>
      <c r="E70" s="1">
        <v>0.15</v>
      </c>
      <c r="F70" t="s">
        <v>446</v>
      </c>
      <c r="G70" s="3">
        <v>187.91</v>
      </c>
      <c r="H70" s="3">
        <v>231.1293</v>
      </c>
      <c r="I70" s="3">
        <v>225.49199999999999</v>
      </c>
      <c r="J70" s="3">
        <v>219.85469999999998</v>
      </c>
      <c r="K70" s="3">
        <v>203.88234999999997</v>
      </c>
      <c r="L70" s="3">
        <v>190.25715924032028</v>
      </c>
    </row>
    <row r="71" spans="1:12" x14ac:dyDescent="0.2">
      <c r="A71" t="s">
        <v>106</v>
      </c>
      <c r="B71" t="s">
        <v>488</v>
      </c>
      <c r="C71" t="s">
        <v>190</v>
      </c>
      <c r="D71" t="s">
        <v>127</v>
      </c>
      <c r="E71" s="1">
        <v>0.15</v>
      </c>
      <c r="F71" t="s">
        <v>446</v>
      </c>
      <c r="G71" s="3">
        <v>146.93999999999997</v>
      </c>
      <c r="H71" s="3">
        <v>180.73619999999997</v>
      </c>
      <c r="I71" s="3">
        <v>176.32799999999995</v>
      </c>
      <c r="J71" s="3">
        <v>171.91979999999995</v>
      </c>
      <c r="K71" s="3">
        <v>159.42989999999998</v>
      </c>
      <c r="L71" s="3">
        <v>148.77540832724526</v>
      </c>
    </row>
    <row r="72" spans="1:12" x14ac:dyDescent="0.2">
      <c r="A72" t="s">
        <v>108</v>
      </c>
      <c r="B72" t="s">
        <v>221</v>
      </c>
      <c r="C72" t="s">
        <v>190</v>
      </c>
      <c r="D72" t="s">
        <v>127</v>
      </c>
      <c r="E72" s="1">
        <v>0.15</v>
      </c>
      <c r="F72" t="s">
        <v>446</v>
      </c>
      <c r="G72" s="3">
        <v>275.07917104520072</v>
      </c>
      <c r="H72" s="3">
        <v>338.34738038559686</v>
      </c>
      <c r="I72" s="3">
        <v>330.09500525424085</v>
      </c>
      <c r="J72" s="3">
        <v>321.84263012288483</v>
      </c>
      <c r="K72" s="3">
        <v>298.46090058404275</v>
      </c>
      <c r="L72" s="3">
        <v>278.51514900347001</v>
      </c>
    </row>
    <row r="73" spans="1:12" x14ac:dyDescent="0.2">
      <c r="A73" t="s">
        <v>109</v>
      </c>
      <c r="B73" t="s">
        <v>222</v>
      </c>
      <c r="C73" t="s">
        <v>190</v>
      </c>
      <c r="D73" t="s">
        <v>127</v>
      </c>
      <c r="E73" s="1">
        <v>0.15</v>
      </c>
      <c r="F73" t="s">
        <v>446</v>
      </c>
      <c r="G73" s="3">
        <v>325.09356578069179</v>
      </c>
      <c r="H73" s="3">
        <v>399.86508591025091</v>
      </c>
      <c r="I73" s="3">
        <v>390.11227893683014</v>
      </c>
      <c r="J73" s="3">
        <v>380.35947196340936</v>
      </c>
      <c r="K73" s="3">
        <v>352.72651887205058</v>
      </c>
      <c r="L73" s="3">
        <v>329.15426700410097</v>
      </c>
    </row>
    <row r="74" spans="1:12" x14ac:dyDescent="0.2">
      <c r="A74" t="s">
        <v>110</v>
      </c>
      <c r="B74" t="s">
        <v>223</v>
      </c>
      <c r="C74" t="s">
        <v>190</v>
      </c>
      <c r="D74" t="s">
        <v>127</v>
      </c>
      <c r="E74" s="1">
        <v>0.15</v>
      </c>
      <c r="F74" t="s">
        <v>446</v>
      </c>
      <c r="G74" s="3">
        <v>387.56809644881093</v>
      </c>
      <c r="H74" s="3">
        <v>476.70875863203742</v>
      </c>
      <c r="I74" s="3">
        <v>465.08171573857311</v>
      </c>
      <c r="J74" s="3">
        <v>453.45467284510875</v>
      </c>
      <c r="K74" s="3">
        <v>420.51138464695987</v>
      </c>
      <c r="L74" s="3">
        <v>392.40915886610202</v>
      </c>
    </row>
    <row r="75" spans="1:12" x14ac:dyDescent="0.2">
      <c r="A75" t="s">
        <v>111</v>
      </c>
      <c r="B75" t="s">
        <v>224</v>
      </c>
      <c r="C75" t="s">
        <v>190</v>
      </c>
      <c r="D75" t="s">
        <v>127</v>
      </c>
      <c r="E75" s="1">
        <v>0.15</v>
      </c>
      <c r="F75" t="s">
        <v>446</v>
      </c>
      <c r="G75" s="3">
        <v>352.83051451806131</v>
      </c>
      <c r="H75" s="3">
        <v>433.98153285721543</v>
      </c>
      <c r="I75" s="3">
        <v>423.39661742167357</v>
      </c>
      <c r="J75" s="3">
        <v>412.81170198613171</v>
      </c>
      <c r="K75" s="3">
        <v>382.82110825209651</v>
      </c>
      <c r="L75" s="3">
        <v>357.23767434147692</v>
      </c>
    </row>
    <row r="76" spans="1:12" x14ac:dyDescent="0.2">
      <c r="A76" t="s">
        <v>112</v>
      </c>
      <c r="B76" t="s">
        <v>225</v>
      </c>
      <c r="C76" t="s">
        <v>190</v>
      </c>
      <c r="D76" t="s">
        <v>127</v>
      </c>
      <c r="E76" s="1">
        <v>0.15</v>
      </c>
      <c r="F76" t="s">
        <v>446</v>
      </c>
      <c r="G76" s="3">
        <v>414.32276146913676</v>
      </c>
      <c r="H76" s="3">
        <v>509.61699660703823</v>
      </c>
      <c r="I76" s="3">
        <v>497.1873137629641</v>
      </c>
      <c r="J76" s="3">
        <v>484.75763091888996</v>
      </c>
      <c r="K76" s="3">
        <v>449.54019619401333</v>
      </c>
      <c r="L76" s="3">
        <v>419.49801290896062</v>
      </c>
    </row>
    <row r="77" spans="1:12" x14ac:dyDescent="0.2">
      <c r="A77" t="s">
        <v>113</v>
      </c>
      <c r="B77" t="s">
        <v>226</v>
      </c>
      <c r="C77" t="s">
        <v>190</v>
      </c>
      <c r="D77" t="s">
        <v>127</v>
      </c>
      <c r="E77" s="1">
        <v>0.15</v>
      </c>
      <c r="F77" t="s">
        <v>446</v>
      </c>
      <c r="G77" s="3">
        <v>401.43686956644115</v>
      </c>
      <c r="H77" s="3">
        <v>493.7673495667226</v>
      </c>
      <c r="I77" s="3">
        <v>481.72424347972935</v>
      </c>
      <c r="J77" s="3">
        <v>469.6811373927361</v>
      </c>
      <c r="K77" s="3">
        <v>435.55900347958863</v>
      </c>
      <c r="L77" s="3">
        <v>406.45116501536944</v>
      </c>
    </row>
    <row r="78" spans="1:12" x14ac:dyDescent="0.2">
      <c r="A78" t="s">
        <v>114</v>
      </c>
      <c r="B78" t="s">
        <v>227</v>
      </c>
      <c r="C78" t="s">
        <v>190</v>
      </c>
      <c r="D78" t="s">
        <v>127</v>
      </c>
      <c r="E78" s="1">
        <v>0.15</v>
      </c>
      <c r="F78" t="s">
        <v>446</v>
      </c>
      <c r="G78" s="3">
        <v>614.21457121193066</v>
      </c>
      <c r="H78" s="3">
        <v>755.48392259067475</v>
      </c>
      <c r="I78" s="3">
        <v>737.05748545431675</v>
      </c>
      <c r="J78" s="3">
        <v>718.63104831795886</v>
      </c>
      <c r="K78" s="3">
        <v>666.42280976494476</v>
      </c>
      <c r="L78" s="3">
        <v>621.8866451109219</v>
      </c>
    </row>
    <row r="79" spans="1:12" x14ac:dyDescent="0.2">
      <c r="A79" t="s">
        <v>115</v>
      </c>
      <c r="B79" t="s">
        <v>228</v>
      </c>
      <c r="C79" t="s">
        <v>190</v>
      </c>
      <c r="D79" t="s">
        <v>127</v>
      </c>
      <c r="E79" s="1">
        <v>0.15</v>
      </c>
      <c r="F79" t="s">
        <v>446</v>
      </c>
      <c r="G79" s="3">
        <v>769.65570594809014</v>
      </c>
      <c r="H79" s="3">
        <v>946.67651831615092</v>
      </c>
      <c r="I79" s="3">
        <v>923.58684713770811</v>
      </c>
      <c r="J79" s="3">
        <v>900.49717595926541</v>
      </c>
      <c r="K79" s="3">
        <v>835.07644095367777</v>
      </c>
      <c r="L79" s="3">
        <v>779.26937473677242</v>
      </c>
    </row>
    <row r="80" spans="1:12" x14ac:dyDescent="0.2">
      <c r="A80" t="s">
        <v>116</v>
      </c>
      <c r="B80" t="s">
        <v>229</v>
      </c>
      <c r="C80" t="s">
        <v>190</v>
      </c>
      <c r="D80" t="s">
        <v>127</v>
      </c>
      <c r="E80" s="1">
        <v>0.15</v>
      </c>
      <c r="F80" t="s">
        <v>446</v>
      </c>
      <c r="G80" s="3">
        <v>1576.0296568377375</v>
      </c>
      <c r="H80" s="3">
        <v>1938.5164779104171</v>
      </c>
      <c r="I80" s="3">
        <v>1891.235588205285</v>
      </c>
      <c r="J80" s="3">
        <v>1843.9546985001527</v>
      </c>
      <c r="K80" s="3">
        <v>1709.9921776689453</v>
      </c>
      <c r="L80" s="3">
        <v>1595.7156372116692</v>
      </c>
    </row>
    <row r="81" spans="1:12" x14ac:dyDescent="0.2">
      <c r="B81" t="s">
        <v>454</v>
      </c>
      <c r="C81" t="s">
        <v>190</v>
      </c>
      <c r="D81" t="s">
        <v>127</v>
      </c>
      <c r="E81" s="1">
        <v>0.15</v>
      </c>
      <c r="F81" t="s">
        <v>446</v>
      </c>
      <c r="G81" s="3">
        <v>205.02495685358795</v>
      </c>
      <c r="H81" s="3">
        <v>252.18069692991318</v>
      </c>
      <c r="I81" s="3">
        <v>246.02994822430554</v>
      </c>
      <c r="J81" s="3">
        <v>239.8791995186979</v>
      </c>
      <c r="K81" s="3">
        <v>222.45207818614293</v>
      </c>
      <c r="L81" s="3">
        <v>207.58589678214506</v>
      </c>
    </row>
    <row r="82" spans="1:12" x14ac:dyDescent="0.2">
      <c r="B82" t="s">
        <v>455</v>
      </c>
      <c r="C82" t="s">
        <v>190</v>
      </c>
      <c r="D82" t="s">
        <v>127</v>
      </c>
      <c r="E82" s="1">
        <v>0.15</v>
      </c>
      <c r="F82" t="s">
        <v>446</v>
      </c>
      <c r="G82" s="3">
        <v>152.52751142453852</v>
      </c>
      <c r="H82" s="3">
        <v>187.60883905218236</v>
      </c>
      <c r="I82" s="3">
        <v>183.03301370944621</v>
      </c>
      <c r="J82" s="3">
        <v>178.45718836671006</v>
      </c>
      <c r="K82" s="3">
        <v>165.49234989562427</v>
      </c>
      <c r="L82" s="3">
        <v>154.43271262640729</v>
      </c>
    </row>
    <row r="83" spans="1:12" x14ac:dyDescent="0.2">
      <c r="A83" t="s">
        <v>118</v>
      </c>
      <c r="B83" t="s">
        <v>234</v>
      </c>
      <c r="C83" t="s">
        <v>190</v>
      </c>
      <c r="D83" t="s">
        <v>127</v>
      </c>
      <c r="E83" s="1">
        <v>0.15</v>
      </c>
      <c r="F83" t="s">
        <v>446</v>
      </c>
      <c r="G83" s="3">
        <v>208.01195749718858</v>
      </c>
      <c r="H83" s="3">
        <v>255.85470772154196</v>
      </c>
      <c r="I83" s="3">
        <v>249.61434899662629</v>
      </c>
      <c r="J83" s="3">
        <v>243.37399027171062</v>
      </c>
      <c r="K83" s="3">
        <v>225.6929738844496</v>
      </c>
      <c r="L83" s="3">
        <v>210.61020766022745</v>
      </c>
    </row>
    <row r="84" spans="1:12" x14ac:dyDescent="0.2">
      <c r="A84" t="s">
        <v>119</v>
      </c>
      <c r="B84" t="s">
        <v>235</v>
      </c>
      <c r="C84" t="s">
        <v>190</v>
      </c>
      <c r="D84" t="s">
        <v>127</v>
      </c>
      <c r="E84" s="1">
        <v>0.15</v>
      </c>
      <c r="F84" t="s">
        <v>446</v>
      </c>
      <c r="G84" s="3">
        <v>213.10616827051982</v>
      </c>
      <c r="H84" s="3">
        <v>262.12058697273937</v>
      </c>
      <c r="I84" s="3">
        <v>255.72740192462376</v>
      </c>
      <c r="J84" s="3">
        <v>249.33421687650818</v>
      </c>
      <c r="K84" s="3">
        <v>231.220192573514</v>
      </c>
      <c r="L84" s="3">
        <v>215.76804955424819</v>
      </c>
    </row>
    <row r="85" spans="1:12" x14ac:dyDescent="0.2">
      <c r="A85" t="s">
        <v>120</v>
      </c>
      <c r="B85" t="s">
        <v>236</v>
      </c>
      <c r="C85" t="s">
        <v>190</v>
      </c>
      <c r="D85" t="s">
        <v>127</v>
      </c>
      <c r="E85" s="1">
        <v>0.15</v>
      </c>
      <c r="F85" t="s">
        <v>446</v>
      </c>
      <c r="G85" s="3">
        <v>318.4052295860028</v>
      </c>
      <c r="H85" s="3">
        <v>391.63843239078346</v>
      </c>
      <c r="I85" s="3">
        <v>382.08627550320335</v>
      </c>
      <c r="J85" s="3">
        <v>372.53411861562324</v>
      </c>
      <c r="K85" s="3">
        <v>345.46967410081299</v>
      </c>
      <c r="L85" s="3">
        <v>322.38238767652001</v>
      </c>
    </row>
    <row r="86" spans="1:12" x14ac:dyDescent="0.2">
      <c r="A86" t="s">
        <v>121</v>
      </c>
      <c r="B86" t="s">
        <v>237</v>
      </c>
      <c r="C86" t="s">
        <v>190</v>
      </c>
      <c r="D86" t="s">
        <v>127</v>
      </c>
      <c r="E86" s="1">
        <v>0.15</v>
      </c>
      <c r="F86" t="s">
        <v>446</v>
      </c>
      <c r="G86" s="3">
        <v>327.37255702199246</v>
      </c>
      <c r="H86" s="3">
        <v>402.66824513705075</v>
      </c>
      <c r="I86" s="3">
        <v>392.84706842639093</v>
      </c>
      <c r="J86" s="3">
        <v>383.02589171573118</v>
      </c>
      <c r="K86" s="3">
        <v>355.19922436886179</v>
      </c>
      <c r="L86" s="3">
        <v>331.4617248270132</v>
      </c>
    </row>
    <row r="87" spans="1:12" x14ac:dyDescent="0.2">
      <c r="B87" t="s">
        <v>238</v>
      </c>
      <c r="C87" t="s">
        <v>190</v>
      </c>
      <c r="D87" t="s">
        <v>127</v>
      </c>
      <c r="E87" s="1">
        <v>0.15</v>
      </c>
      <c r="F87" t="s">
        <v>446</v>
      </c>
      <c r="G87" s="3">
        <v>411.69809239195678</v>
      </c>
      <c r="H87" s="3">
        <v>506.38865364210682</v>
      </c>
      <c r="I87" s="3">
        <v>494.03771087034812</v>
      </c>
      <c r="J87" s="3">
        <v>481.68676809858943</v>
      </c>
      <c r="K87" s="3">
        <v>446.6924302452731</v>
      </c>
      <c r="L87" s="3">
        <v>416.84055943351927</v>
      </c>
    </row>
    <row r="88" spans="1:12" x14ac:dyDescent="0.2">
      <c r="A88" t="s">
        <v>122</v>
      </c>
      <c r="B88" t="s">
        <v>239</v>
      </c>
      <c r="C88" t="s">
        <v>190</v>
      </c>
      <c r="D88" t="s">
        <v>127</v>
      </c>
      <c r="E88" s="1">
        <v>0.15</v>
      </c>
      <c r="F88" t="s">
        <v>446</v>
      </c>
      <c r="G88" s="3">
        <v>390.32578704920485</v>
      </c>
      <c r="H88" s="3">
        <v>480.10071807052196</v>
      </c>
      <c r="I88" s="3">
        <v>468.39094445904578</v>
      </c>
      <c r="J88" s="3">
        <v>456.68117084756966</v>
      </c>
      <c r="K88" s="3">
        <v>423.50347894838728</v>
      </c>
      <c r="L88" s="3">
        <v>395.20129541921085</v>
      </c>
    </row>
    <row r="89" spans="1:12" x14ac:dyDescent="0.2">
      <c r="A89" t="s">
        <v>123</v>
      </c>
      <c r="B89" t="s">
        <v>240</v>
      </c>
      <c r="C89" t="s">
        <v>190</v>
      </c>
      <c r="D89" t="s">
        <v>213</v>
      </c>
      <c r="E89" s="1">
        <v>0.1</v>
      </c>
      <c r="F89" t="s">
        <v>446</v>
      </c>
      <c r="G89" s="3">
        <v>44.455284552845526</v>
      </c>
      <c r="H89" s="3">
        <v>54.68</v>
      </c>
      <c r="I89" s="3"/>
      <c r="J89" s="3"/>
      <c r="K89" s="3">
        <v>22.227642276422763</v>
      </c>
      <c r="L89" s="3">
        <v>45.010569699560861</v>
      </c>
    </row>
    <row r="90" spans="1:12" x14ac:dyDescent="0.2">
      <c r="A90" t="s">
        <v>124</v>
      </c>
      <c r="B90" t="s">
        <v>241</v>
      </c>
      <c r="C90" t="s">
        <v>190</v>
      </c>
      <c r="D90" t="s">
        <v>213</v>
      </c>
      <c r="E90" s="1">
        <v>0.1</v>
      </c>
      <c r="F90" t="s">
        <v>446</v>
      </c>
      <c r="G90" s="3">
        <v>59.69105691056911</v>
      </c>
      <c r="H90" s="3">
        <v>73.42</v>
      </c>
      <c r="I90" s="3"/>
      <c r="J90" s="3"/>
      <c r="K90" s="3">
        <v>29.845528455284555</v>
      </c>
      <c r="L90" s="3">
        <v>60.43665009769127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8B9B-9B6B-0A4B-9551-4550247CD78F}">
  <dimension ref="A1:B123"/>
  <sheetViews>
    <sheetView topLeftCell="A80" workbookViewId="0">
      <selection activeCell="A115" sqref="A115:B115"/>
    </sheetView>
  </sheetViews>
  <sheetFormatPr baseColWidth="10" defaultColWidth="10.83203125" defaultRowHeight="16" x14ac:dyDescent="0.2"/>
  <cols>
    <col min="1" max="1" width="16.5" bestFit="1" customWidth="1"/>
    <col min="2" max="2" width="100.33203125" bestFit="1" customWidth="1"/>
  </cols>
  <sheetData>
    <row r="1" spans="1:2" x14ac:dyDescent="0.2">
      <c r="A1" s="5" t="s">
        <v>0</v>
      </c>
      <c r="B1" s="5" t="s">
        <v>27</v>
      </c>
    </row>
    <row r="2" spans="1:2" x14ac:dyDescent="0.2">
      <c r="A2" t="s">
        <v>26</v>
      </c>
      <c r="B2" t="s">
        <v>125</v>
      </c>
    </row>
    <row r="3" spans="1:2" x14ac:dyDescent="0.2">
      <c r="A3" t="s">
        <v>170</v>
      </c>
      <c r="B3" t="s">
        <v>128</v>
      </c>
    </row>
    <row r="4" spans="1:2" x14ac:dyDescent="0.2">
      <c r="A4" t="s">
        <v>5</v>
      </c>
      <c r="B4" t="s">
        <v>281</v>
      </c>
    </row>
    <row r="5" spans="1:2" x14ac:dyDescent="0.2">
      <c r="A5" t="s">
        <v>6</v>
      </c>
      <c r="B5" t="s">
        <v>333</v>
      </c>
    </row>
    <row r="6" spans="1:2" x14ac:dyDescent="0.2">
      <c r="A6" t="s">
        <v>10</v>
      </c>
      <c r="B6" t="s">
        <v>7</v>
      </c>
    </row>
    <row r="7" spans="1:2" x14ac:dyDescent="0.2">
      <c r="A7" t="s">
        <v>13</v>
      </c>
      <c r="B7" t="s">
        <v>334</v>
      </c>
    </row>
    <row r="8" spans="1:2" x14ac:dyDescent="0.2">
      <c r="A8" t="s">
        <v>37</v>
      </c>
      <c r="B8" t="s">
        <v>335</v>
      </c>
    </row>
    <row r="9" spans="1:2" x14ac:dyDescent="0.2">
      <c r="A9" t="s">
        <v>16</v>
      </c>
      <c r="B9" t="s">
        <v>134</v>
      </c>
    </row>
    <row r="10" spans="1:2" x14ac:dyDescent="0.2">
      <c r="A10" t="s">
        <v>8</v>
      </c>
      <c r="B10" t="s">
        <v>336</v>
      </c>
    </row>
    <row r="11" spans="1:2" x14ac:dyDescent="0.2">
      <c r="A11" t="s">
        <v>11</v>
      </c>
      <c r="B11" t="s">
        <v>337</v>
      </c>
    </row>
    <row r="12" spans="1:2" x14ac:dyDescent="0.2">
      <c r="A12" t="s">
        <v>14</v>
      </c>
      <c r="B12" t="s">
        <v>282</v>
      </c>
    </row>
    <row r="13" spans="1:2" x14ac:dyDescent="0.2">
      <c r="A13" t="s">
        <v>247</v>
      </c>
      <c r="B13" t="s">
        <v>283</v>
      </c>
    </row>
    <row r="14" spans="1:2" x14ac:dyDescent="0.2">
      <c r="A14" t="s">
        <v>40</v>
      </c>
      <c r="B14" t="s">
        <v>284</v>
      </c>
    </row>
    <row r="15" spans="1:2" x14ac:dyDescent="0.2">
      <c r="A15" t="s">
        <v>243</v>
      </c>
      <c r="B15" t="s">
        <v>285</v>
      </c>
    </row>
    <row r="16" spans="1:2" x14ac:dyDescent="0.2">
      <c r="A16" t="s">
        <v>248</v>
      </c>
      <c r="B16" t="s">
        <v>286</v>
      </c>
    </row>
    <row r="17" spans="1:2" x14ac:dyDescent="0.2">
      <c r="A17" t="s">
        <v>249</v>
      </c>
      <c r="B17" t="s">
        <v>338</v>
      </c>
    </row>
    <row r="18" spans="1:2" x14ac:dyDescent="0.2">
      <c r="A18" t="s">
        <v>45</v>
      </c>
      <c r="B18" t="s">
        <v>339</v>
      </c>
    </row>
    <row r="19" spans="1:2" x14ac:dyDescent="0.2">
      <c r="A19" t="s">
        <v>46</v>
      </c>
      <c r="B19" t="s">
        <v>340</v>
      </c>
    </row>
    <row r="20" spans="1:2" x14ac:dyDescent="0.2">
      <c r="A20" t="s">
        <v>48</v>
      </c>
      <c r="B20" t="s">
        <v>341</v>
      </c>
    </row>
    <row r="21" spans="1:2" x14ac:dyDescent="0.2">
      <c r="A21" t="s">
        <v>170</v>
      </c>
      <c r="B21" t="s">
        <v>342</v>
      </c>
    </row>
    <row r="22" spans="1:2" x14ac:dyDescent="0.2">
      <c r="A22" t="s">
        <v>250</v>
      </c>
      <c r="B22" t="s">
        <v>343</v>
      </c>
    </row>
    <row r="23" spans="1:2" x14ac:dyDescent="0.2">
      <c r="A23" t="s">
        <v>251</v>
      </c>
      <c r="B23" t="s">
        <v>287</v>
      </c>
    </row>
    <row r="24" spans="1:2" x14ac:dyDescent="0.2">
      <c r="A24" t="s">
        <v>55</v>
      </c>
      <c r="B24" t="s">
        <v>288</v>
      </c>
    </row>
    <row r="25" spans="1:2" x14ac:dyDescent="0.2">
      <c r="A25" t="s">
        <v>17</v>
      </c>
      <c r="B25" t="s">
        <v>344</v>
      </c>
    </row>
    <row r="26" spans="1:2" x14ac:dyDescent="0.2">
      <c r="A26" t="s">
        <v>18</v>
      </c>
      <c r="B26" t="s">
        <v>289</v>
      </c>
    </row>
    <row r="27" spans="1:2" x14ac:dyDescent="0.2">
      <c r="A27" t="s">
        <v>19</v>
      </c>
      <c r="B27" t="s">
        <v>345</v>
      </c>
    </row>
    <row r="28" spans="1:2" x14ac:dyDescent="0.2">
      <c r="A28" t="s">
        <v>41</v>
      </c>
      <c r="B28" t="s">
        <v>290</v>
      </c>
    </row>
    <row r="29" spans="1:2" x14ac:dyDescent="0.2">
      <c r="A29" t="s">
        <v>42</v>
      </c>
      <c r="B29" t="s">
        <v>346</v>
      </c>
    </row>
    <row r="30" spans="1:2" x14ac:dyDescent="0.2">
      <c r="A30" t="s">
        <v>58</v>
      </c>
      <c r="B30" t="s">
        <v>347</v>
      </c>
    </row>
    <row r="31" spans="1:2" x14ac:dyDescent="0.2">
      <c r="A31" t="s">
        <v>21</v>
      </c>
      <c r="B31" t="s">
        <v>291</v>
      </c>
    </row>
    <row r="32" spans="1:2" x14ac:dyDescent="0.2">
      <c r="A32" t="s">
        <v>23</v>
      </c>
      <c r="B32" t="s">
        <v>292</v>
      </c>
    </row>
    <row r="33" spans="1:2" x14ac:dyDescent="0.2">
      <c r="A33" t="s">
        <v>59</v>
      </c>
      <c r="B33" t="s">
        <v>293</v>
      </c>
    </row>
    <row r="34" spans="1:2" x14ac:dyDescent="0.2">
      <c r="A34" t="s">
        <v>170</v>
      </c>
      <c r="B34" t="s">
        <v>294</v>
      </c>
    </row>
    <row r="35" spans="1:2" x14ac:dyDescent="0.2">
      <c r="A35" t="s">
        <v>170</v>
      </c>
      <c r="B35" t="s">
        <v>177</v>
      </c>
    </row>
    <row r="36" spans="1:2" x14ac:dyDescent="0.2">
      <c r="A36" t="s">
        <v>68</v>
      </c>
      <c r="B36" t="s">
        <v>179</v>
      </c>
    </row>
    <row r="37" spans="1:2" x14ac:dyDescent="0.2">
      <c r="A37" t="s">
        <v>71</v>
      </c>
      <c r="B37" t="s">
        <v>295</v>
      </c>
    </row>
    <row r="38" spans="1:2" x14ac:dyDescent="0.2">
      <c r="A38" t="s">
        <v>73</v>
      </c>
      <c r="B38" t="s">
        <v>348</v>
      </c>
    </row>
    <row r="39" spans="1:2" x14ac:dyDescent="0.2">
      <c r="A39" t="s">
        <v>74</v>
      </c>
      <c r="B39" t="s">
        <v>185</v>
      </c>
    </row>
    <row r="40" spans="1:2" x14ac:dyDescent="0.2">
      <c r="A40" t="s">
        <v>102</v>
      </c>
      <c r="B40" t="s">
        <v>296</v>
      </c>
    </row>
    <row r="41" spans="1:2" x14ac:dyDescent="0.2">
      <c r="A41" t="s">
        <v>75</v>
      </c>
      <c r="B41" t="s">
        <v>216</v>
      </c>
    </row>
    <row r="42" spans="1:2" x14ac:dyDescent="0.2">
      <c r="A42" t="s">
        <v>76</v>
      </c>
      <c r="B42" t="s">
        <v>187</v>
      </c>
    </row>
    <row r="43" spans="1:2" x14ac:dyDescent="0.2">
      <c r="A43" t="s">
        <v>77</v>
      </c>
      <c r="B43" t="s">
        <v>297</v>
      </c>
    </row>
    <row r="44" spans="1:2" x14ac:dyDescent="0.2">
      <c r="A44" t="s">
        <v>80</v>
      </c>
      <c r="B44" t="s">
        <v>189</v>
      </c>
    </row>
    <row r="45" spans="1:2" x14ac:dyDescent="0.2">
      <c r="A45" t="s">
        <v>81</v>
      </c>
      <c r="B45" t="s">
        <v>193</v>
      </c>
    </row>
    <row r="46" spans="1:2" x14ac:dyDescent="0.2">
      <c r="A46" t="s">
        <v>252</v>
      </c>
      <c r="B46" t="s">
        <v>349</v>
      </c>
    </row>
    <row r="47" spans="1:2" x14ac:dyDescent="0.2">
      <c r="A47" t="s">
        <v>253</v>
      </c>
      <c r="B47" t="s">
        <v>350</v>
      </c>
    </row>
    <row r="48" spans="1:2" x14ac:dyDescent="0.2">
      <c r="A48" t="s">
        <v>254</v>
      </c>
      <c r="B48" t="s">
        <v>351</v>
      </c>
    </row>
    <row r="49" spans="1:2" x14ac:dyDescent="0.2">
      <c r="A49" t="s">
        <v>85</v>
      </c>
      <c r="B49" t="s">
        <v>352</v>
      </c>
    </row>
    <row r="50" spans="1:2" x14ac:dyDescent="0.2">
      <c r="A50" t="s">
        <v>86</v>
      </c>
      <c r="B50" t="s">
        <v>353</v>
      </c>
    </row>
    <row r="51" spans="1:2" x14ac:dyDescent="0.2">
      <c r="A51" t="s">
        <v>255</v>
      </c>
      <c r="B51" t="s">
        <v>199</v>
      </c>
    </row>
    <row r="52" spans="1:2" x14ac:dyDescent="0.2">
      <c r="A52" t="s">
        <v>256</v>
      </c>
      <c r="B52" t="s">
        <v>354</v>
      </c>
    </row>
    <row r="53" spans="1:2" x14ac:dyDescent="0.2">
      <c r="A53" t="s">
        <v>89</v>
      </c>
      <c r="B53" t="s">
        <v>355</v>
      </c>
    </row>
    <row r="54" spans="1:2" x14ac:dyDescent="0.2">
      <c r="A54" t="s">
        <v>87</v>
      </c>
      <c r="B54" t="s">
        <v>202</v>
      </c>
    </row>
    <row r="55" spans="1:2" x14ac:dyDescent="0.2">
      <c r="A55" t="s">
        <v>90</v>
      </c>
      <c r="B55" t="s">
        <v>200</v>
      </c>
    </row>
    <row r="56" spans="1:2" x14ac:dyDescent="0.2">
      <c r="A56" t="s">
        <v>91</v>
      </c>
      <c r="B56" t="s">
        <v>203</v>
      </c>
    </row>
    <row r="57" spans="1:2" x14ac:dyDescent="0.2">
      <c r="A57" t="s">
        <v>92</v>
      </c>
      <c r="B57" t="s">
        <v>204</v>
      </c>
    </row>
    <row r="58" spans="1:2" x14ac:dyDescent="0.2">
      <c r="A58" t="s">
        <v>94</v>
      </c>
      <c r="B58" t="s">
        <v>205</v>
      </c>
    </row>
    <row r="59" spans="1:2" x14ac:dyDescent="0.2">
      <c r="A59" t="s">
        <v>257</v>
      </c>
      <c r="B59" t="s">
        <v>207</v>
      </c>
    </row>
    <row r="60" spans="1:2" x14ac:dyDescent="0.2">
      <c r="A60" t="s">
        <v>258</v>
      </c>
      <c r="B60" t="s">
        <v>298</v>
      </c>
    </row>
    <row r="61" spans="1:2" x14ac:dyDescent="0.2">
      <c r="A61" t="s">
        <v>100</v>
      </c>
      <c r="B61" t="s">
        <v>356</v>
      </c>
    </row>
    <row r="62" spans="1:2" x14ac:dyDescent="0.2">
      <c r="A62" t="s">
        <v>101</v>
      </c>
      <c r="B62" t="s">
        <v>357</v>
      </c>
    </row>
    <row r="63" spans="1:2" x14ac:dyDescent="0.2">
      <c r="A63" t="s">
        <v>97</v>
      </c>
      <c r="B63" t="s">
        <v>215</v>
      </c>
    </row>
    <row r="64" spans="1:2" x14ac:dyDescent="0.2">
      <c r="A64" t="s">
        <v>99</v>
      </c>
      <c r="B64" t="s">
        <v>299</v>
      </c>
    </row>
    <row r="65" spans="1:2" x14ac:dyDescent="0.2">
      <c r="A65" t="s">
        <v>98</v>
      </c>
      <c r="B65" t="s">
        <v>300</v>
      </c>
    </row>
    <row r="66" spans="1:2" x14ac:dyDescent="0.2">
      <c r="A66" t="s">
        <v>103</v>
      </c>
      <c r="B66" t="s">
        <v>301</v>
      </c>
    </row>
    <row r="67" spans="1:2" x14ac:dyDescent="0.2">
      <c r="A67" t="s">
        <v>104</v>
      </c>
      <c r="B67" t="s">
        <v>217</v>
      </c>
    </row>
    <row r="68" spans="1:2" x14ac:dyDescent="0.2">
      <c r="A68" t="s">
        <v>105</v>
      </c>
      <c r="B68" t="s">
        <v>302</v>
      </c>
    </row>
    <row r="69" spans="1:2" x14ac:dyDescent="0.2">
      <c r="A69" t="s">
        <v>259</v>
      </c>
      <c r="B69" t="s">
        <v>219</v>
      </c>
    </row>
    <row r="70" spans="1:2" x14ac:dyDescent="0.2">
      <c r="A70" t="s">
        <v>106</v>
      </c>
      <c r="B70" t="s">
        <v>303</v>
      </c>
    </row>
    <row r="71" spans="1:2" x14ac:dyDescent="0.2">
      <c r="A71" t="s">
        <v>107</v>
      </c>
      <c r="B71" t="s">
        <v>304</v>
      </c>
    </row>
    <row r="72" spans="1:2" x14ac:dyDescent="0.2">
      <c r="A72" t="s">
        <v>108</v>
      </c>
      <c r="B72" t="s">
        <v>305</v>
      </c>
    </row>
    <row r="73" spans="1:2" x14ac:dyDescent="0.2">
      <c r="A73" t="s">
        <v>109</v>
      </c>
      <c r="B73" t="s">
        <v>221</v>
      </c>
    </row>
    <row r="74" spans="1:2" x14ac:dyDescent="0.2">
      <c r="A74" t="s">
        <v>110</v>
      </c>
      <c r="B74" t="s">
        <v>222</v>
      </c>
    </row>
    <row r="75" spans="1:2" x14ac:dyDescent="0.2">
      <c r="A75" t="s">
        <v>111</v>
      </c>
      <c r="B75" t="s">
        <v>223</v>
      </c>
    </row>
    <row r="76" spans="1:2" x14ac:dyDescent="0.2">
      <c r="A76" t="s">
        <v>112</v>
      </c>
      <c r="B76" t="s">
        <v>224</v>
      </c>
    </row>
    <row r="77" spans="1:2" x14ac:dyDescent="0.2">
      <c r="A77" t="s">
        <v>113</v>
      </c>
      <c r="B77" t="s">
        <v>306</v>
      </c>
    </row>
    <row r="78" spans="1:2" x14ac:dyDescent="0.2">
      <c r="A78" t="s">
        <v>115</v>
      </c>
      <c r="B78" t="s">
        <v>307</v>
      </c>
    </row>
    <row r="79" spans="1:2" x14ac:dyDescent="0.2">
      <c r="A79" t="s">
        <v>170</v>
      </c>
      <c r="B79" t="s">
        <v>308</v>
      </c>
    </row>
    <row r="80" spans="1:2" x14ac:dyDescent="0.2">
      <c r="A80" t="s">
        <v>170</v>
      </c>
      <c r="B80" t="s">
        <v>229</v>
      </c>
    </row>
    <row r="81" spans="1:2" x14ac:dyDescent="0.2">
      <c r="A81" t="s">
        <v>170</v>
      </c>
      <c r="B81" t="s">
        <v>169</v>
      </c>
    </row>
    <row r="82" spans="1:2" x14ac:dyDescent="0.2">
      <c r="A82" t="s">
        <v>170</v>
      </c>
      <c r="B82" t="s">
        <v>171</v>
      </c>
    </row>
    <row r="83" spans="1:2" x14ac:dyDescent="0.2">
      <c r="A83" t="s">
        <v>170</v>
      </c>
      <c r="B83" t="s">
        <v>172</v>
      </c>
    </row>
    <row r="84" spans="1:2" x14ac:dyDescent="0.2">
      <c r="A84" t="s">
        <v>170</v>
      </c>
      <c r="B84" t="s">
        <v>173</v>
      </c>
    </row>
    <row r="85" spans="1:2" x14ac:dyDescent="0.2">
      <c r="A85" t="s">
        <v>170</v>
      </c>
      <c r="B85" t="s">
        <v>174</v>
      </c>
    </row>
    <row r="86" spans="1:2" x14ac:dyDescent="0.2">
      <c r="A86" t="s">
        <v>170</v>
      </c>
      <c r="B86" t="s">
        <v>175</v>
      </c>
    </row>
    <row r="87" spans="1:2" x14ac:dyDescent="0.2">
      <c r="A87" t="s">
        <v>170</v>
      </c>
      <c r="B87" t="s">
        <v>232</v>
      </c>
    </row>
    <row r="88" spans="1:2" x14ac:dyDescent="0.2">
      <c r="A88" t="s">
        <v>118</v>
      </c>
      <c r="B88" t="s">
        <v>309</v>
      </c>
    </row>
    <row r="89" spans="1:2" x14ac:dyDescent="0.2">
      <c r="A89" t="s">
        <v>170</v>
      </c>
      <c r="B89" t="s">
        <v>310</v>
      </c>
    </row>
    <row r="90" spans="1:2" x14ac:dyDescent="0.2">
      <c r="A90" t="s">
        <v>108</v>
      </c>
      <c r="B90" t="s">
        <v>311</v>
      </c>
    </row>
    <row r="91" spans="1:2" x14ac:dyDescent="0.2">
      <c r="A91" t="s">
        <v>121</v>
      </c>
      <c r="B91" t="s">
        <v>236</v>
      </c>
    </row>
    <row r="92" spans="1:2" x14ac:dyDescent="0.2">
      <c r="A92" t="s">
        <v>110</v>
      </c>
      <c r="B92" t="s">
        <v>312</v>
      </c>
    </row>
    <row r="93" spans="1:2" x14ac:dyDescent="0.2">
      <c r="A93" t="s">
        <v>122</v>
      </c>
      <c r="B93" t="s">
        <v>238</v>
      </c>
    </row>
    <row r="94" spans="1:2" x14ac:dyDescent="0.2">
      <c r="A94" t="s">
        <v>122</v>
      </c>
      <c r="B94" t="s">
        <v>313</v>
      </c>
    </row>
    <row r="95" spans="1:2" x14ac:dyDescent="0.2">
      <c r="A95" t="s">
        <v>260</v>
      </c>
      <c r="B95" t="s">
        <v>314</v>
      </c>
    </row>
    <row r="96" spans="1:2" x14ac:dyDescent="0.2">
      <c r="A96" t="s">
        <v>261</v>
      </c>
      <c r="B96" t="s">
        <v>315</v>
      </c>
    </row>
    <row r="97" spans="1:2" x14ac:dyDescent="0.2">
      <c r="A97" t="s">
        <v>262</v>
      </c>
      <c r="B97" t="s">
        <v>316</v>
      </c>
    </row>
    <row r="98" spans="1:2" x14ac:dyDescent="0.2">
      <c r="A98" t="s">
        <v>263</v>
      </c>
      <c r="B98" t="s">
        <v>317</v>
      </c>
    </row>
    <row r="99" spans="1:2" x14ac:dyDescent="0.2">
      <c r="A99" t="s">
        <v>264</v>
      </c>
      <c r="B99" t="s">
        <v>318</v>
      </c>
    </row>
    <row r="100" spans="1:2" x14ac:dyDescent="0.2">
      <c r="A100" t="s">
        <v>265</v>
      </c>
      <c r="B100" t="s">
        <v>319</v>
      </c>
    </row>
    <row r="101" spans="1:2" x14ac:dyDescent="0.2">
      <c r="A101" t="s">
        <v>266</v>
      </c>
      <c r="B101" t="s">
        <v>320</v>
      </c>
    </row>
    <row r="102" spans="1:2" x14ac:dyDescent="0.2">
      <c r="A102" t="s">
        <v>267</v>
      </c>
      <c r="B102" t="s">
        <v>321</v>
      </c>
    </row>
    <row r="103" spans="1:2" x14ac:dyDescent="0.2">
      <c r="A103" t="s">
        <v>70</v>
      </c>
      <c r="B103" t="s">
        <v>322</v>
      </c>
    </row>
    <row r="104" spans="1:2" x14ac:dyDescent="0.2">
      <c r="A104" t="s">
        <v>268</v>
      </c>
      <c r="B104" t="s">
        <v>358</v>
      </c>
    </row>
    <row r="105" spans="1:2" x14ac:dyDescent="0.2">
      <c r="A105" t="s">
        <v>269</v>
      </c>
      <c r="B105" t="s">
        <v>359</v>
      </c>
    </row>
    <row r="106" spans="1:2" x14ac:dyDescent="0.2">
      <c r="A106" t="s">
        <v>119</v>
      </c>
      <c r="B106" t="s">
        <v>360</v>
      </c>
    </row>
    <row r="107" spans="1:2" x14ac:dyDescent="0.2">
      <c r="A107" t="s">
        <v>259</v>
      </c>
      <c r="B107" t="s">
        <v>323</v>
      </c>
    </row>
    <row r="108" spans="1:2" x14ac:dyDescent="0.2">
      <c r="A108" t="s">
        <v>270</v>
      </c>
      <c r="B108" t="s">
        <v>324</v>
      </c>
    </row>
    <row r="109" spans="1:2" x14ac:dyDescent="0.2">
      <c r="A109" t="s">
        <v>271</v>
      </c>
      <c r="B109" t="s">
        <v>325</v>
      </c>
    </row>
    <row r="110" spans="1:2" x14ac:dyDescent="0.2">
      <c r="A110" t="s">
        <v>37</v>
      </c>
      <c r="B110" t="s">
        <v>326</v>
      </c>
    </row>
    <row r="111" spans="1:2" x14ac:dyDescent="0.2">
      <c r="A111" t="s">
        <v>170</v>
      </c>
      <c r="B111" t="s">
        <v>327</v>
      </c>
    </row>
    <row r="112" spans="1:2" x14ac:dyDescent="0.2">
      <c r="A112" t="s">
        <v>170</v>
      </c>
      <c r="B112" t="s">
        <v>361</v>
      </c>
    </row>
    <row r="113" spans="1:2" x14ac:dyDescent="0.2">
      <c r="A113" t="s">
        <v>272</v>
      </c>
      <c r="B113" t="s">
        <v>362</v>
      </c>
    </row>
    <row r="114" spans="1:2" x14ac:dyDescent="0.2">
      <c r="A114" t="s">
        <v>170</v>
      </c>
      <c r="B114" t="s">
        <v>363</v>
      </c>
    </row>
    <row r="115" spans="1:2" x14ac:dyDescent="0.2">
      <c r="A115" t="s">
        <v>273</v>
      </c>
      <c r="B115" t="s">
        <v>328</v>
      </c>
    </row>
    <row r="116" spans="1:2" x14ac:dyDescent="0.2">
      <c r="A116" t="s">
        <v>274</v>
      </c>
      <c r="B116" t="s">
        <v>329</v>
      </c>
    </row>
    <row r="117" spans="1:2" x14ac:dyDescent="0.2">
      <c r="A117" t="s">
        <v>275</v>
      </c>
      <c r="B117" t="s">
        <v>330</v>
      </c>
    </row>
    <row r="118" spans="1:2" x14ac:dyDescent="0.2">
      <c r="A118" t="s">
        <v>276</v>
      </c>
      <c r="B118" t="s">
        <v>331</v>
      </c>
    </row>
    <row r="119" spans="1:2" x14ac:dyDescent="0.2">
      <c r="A119" t="s">
        <v>277</v>
      </c>
      <c r="B119" t="s">
        <v>332</v>
      </c>
    </row>
    <row r="120" spans="1:2" x14ac:dyDescent="0.2">
      <c r="A120" t="s">
        <v>278</v>
      </c>
      <c r="B120" t="s">
        <v>364</v>
      </c>
    </row>
    <row r="121" spans="1:2" x14ac:dyDescent="0.2">
      <c r="A121" t="s">
        <v>279</v>
      </c>
      <c r="B121" t="s">
        <v>365</v>
      </c>
    </row>
    <row r="122" spans="1:2" x14ac:dyDescent="0.2">
      <c r="A122" t="s">
        <v>280</v>
      </c>
      <c r="B122" t="s">
        <v>366</v>
      </c>
    </row>
    <row r="123" spans="1:2" x14ac:dyDescent="0.2">
      <c r="A123" t="s">
        <v>170</v>
      </c>
      <c r="B123" t="s">
        <v>367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D87A-98BA-994B-9D56-4438ACA099B2}">
  <dimension ref="A1:A100"/>
  <sheetViews>
    <sheetView workbookViewId="0"/>
  </sheetViews>
  <sheetFormatPr baseColWidth="10" defaultColWidth="10.83203125" defaultRowHeight="16" x14ac:dyDescent="0.2"/>
  <cols>
    <col min="1" max="1" width="16.5" bestFit="1" customWidth="1"/>
  </cols>
  <sheetData>
    <row r="1" spans="1:1" x14ac:dyDescent="0.2">
      <c r="A1" s="9" t="s">
        <v>0</v>
      </c>
    </row>
    <row r="2" spans="1:1" x14ac:dyDescent="0.2">
      <c r="A2" s="10" t="s">
        <v>26</v>
      </c>
    </row>
    <row r="3" spans="1:1" x14ac:dyDescent="0.2">
      <c r="A3" s="10" t="s">
        <v>5</v>
      </c>
    </row>
    <row r="4" spans="1:1" x14ac:dyDescent="0.2">
      <c r="A4" s="10" t="s">
        <v>6</v>
      </c>
    </row>
    <row r="5" spans="1:1" x14ac:dyDescent="0.2">
      <c r="A5" s="10" t="s">
        <v>10</v>
      </c>
    </row>
    <row r="6" spans="1:1" x14ac:dyDescent="0.2">
      <c r="A6" s="10" t="s">
        <v>13</v>
      </c>
    </row>
    <row r="7" spans="1:1" x14ac:dyDescent="0.2">
      <c r="A7" s="10" t="s">
        <v>37</v>
      </c>
    </row>
    <row r="8" spans="1:1" x14ac:dyDescent="0.2">
      <c r="A8" s="10" t="s">
        <v>16</v>
      </c>
    </row>
    <row r="9" spans="1:1" x14ac:dyDescent="0.2">
      <c r="A9" s="10" t="s">
        <v>8</v>
      </c>
    </row>
    <row r="10" spans="1:1" x14ac:dyDescent="0.2">
      <c r="A10" s="10" t="s">
        <v>11</v>
      </c>
    </row>
    <row r="11" spans="1:1" x14ac:dyDescent="0.2">
      <c r="A11" s="10" t="s">
        <v>14</v>
      </c>
    </row>
    <row r="12" spans="1:1" x14ac:dyDescent="0.2">
      <c r="A12" s="10" t="s">
        <v>247</v>
      </c>
    </row>
    <row r="13" spans="1:1" x14ac:dyDescent="0.2">
      <c r="A13" s="10" t="s">
        <v>40</v>
      </c>
    </row>
    <row r="14" spans="1:1" x14ac:dyDescent="0.2">
      <c r="A14" s="10" t="s">
        <v>243</v>
      </c>
    </row>
    <row r="15" spans="1:1" x14ac:dyDescent="0.2">
      <c r="A15" s="10" t="s">
        <v>248</v>
      </c>
    </row>
    <row r="16" spans="1:1" x14ac:dyDescent="0.2">
      <c r="A16" s="10" t="s">
        <v>249</v>
      </c>
    </row>
    <row r="17" spans="1:1" x14ac:dyDescent="0.2">
      <c r="A17" s="10" t="s">
        <v>45</v>
      </c>
    </row>
    <row r="18" spans="1:1" x14ac:dyDescent="0.2">
      <c r="A18" s="10" t="s">
        <v>46</v>
      </c>
    </row>
    <row r="19" spans="1:1" x14ac:dyDescent="0.2">
      <c r="A19" s="10" t="s">
        <v>48</v>
      </c>
    </row>
    <row r="20" spans="1:1" x14ac:dyDescent="0.2">
      <c r="A20" s="10" t="s">
        <v>250</v>
      </c>
    </row>
    <row r="21" spans="1:1" x14ac:dyDescent="0.2">
      <c r="A21" s="10" t="s">
        <v>251</v>
      </c>
    </row>
    <row r="22" spans="1:1" x14ac:dyDescent="0.2">
      <c r="A22" s="10" t="s">
        <v>55</v>
      </c>
    </row>
    <row r="23" spans="1:1" x14ac:dyDescent="0.2">
      <c r="A23" s="10" t="s">
        <v>17</v>
      </c>
    </row>
    <row r="24" spans="1:1" x14ac:dyDescent="0.2">
      <c r="A24" s="10" t="s">
        <v>18</v>
      </c>
    </row>
    <row r="25" spans="1:1" x14ac:dyDescent="0.2">
      <c r="A25" s="10" t="s">
        <v>19</v>
      </c>
    </row>
    <row r="26" spans="1:1" x14ac:dyDescent="0.2">
      <c r="A26" s="10" t="s">
        <v>41</v>
      </c>
    </row>
    <row r="27" spans="1:1" x14ac:dyDescent="0.2">
      <c r="A27" s="10" t="s">
        <v>42</v>
      </c>
    </row>
    <row r="28" spans="1:1" x14ac:dyDescent="0.2">
      <c r="A28" s="10" t="s">
        <v>58</v>
      </c>
    </row>
    <row r="29" spans="1:1" x14ac:dyDescent="0.2">
      <c r="A29" s="10" t="s">
        <v>21</v>
      </c>
    </row>
    <row r="30" spans="1:1" x14ac:dyDescent="0.2">
      <c r="A30" s="10" t="s">
        <v>23</v>
      </c>
    </row>
    <row r="31" spans="1:1" x14ac:dyDescent="0.2">
      <c r="A31" s="10" t="s">
        <v>59</v>
      </c>
    </row>
    <row r="32" spans="1:1" x14ac:dyDescent="0.2">
      <c r="A32" s="10" t="s">
        <v>68</v>
      </c>
    </row>
    <row r="33" spans="1:1" x14ac:dyDescent="0.2">
      <c r="A33" s="10" t="s">
        <v>71</v>
      </c>
    </row>
    <row r="34" spans="1:1" x14ac:dyDescent="0.2">
      <c r="A34" s="10" t="s">
        <v>73</v>
      </c>
    </row>
    <row r="35" spans="1:1" x14ac:dyDescent="0.2">
      <c r="A35" s="10" t="s">
        <v>74</v>
      </c>
    </row>
    <row r="36" spans="1:1" x14ac:dyDescent="0.2">
      <c r="A36" s="10" t="s">
        <v>102</v>
      </c>
    </row>
    <row r="37" spans="1:1" x14ac:dyDescent="0.2">
      <c r="A37" s="10" t="s">
        <v>75</v>
      </c>
    </row>
    <row r="38" spans="1:1" x14ac:dyDescent="0.2">
      <c r="A38" s="10" t="s">
        <v>76</v>
      </c>
    </row>
    <row r="39" spans="1:1" x14ac:dyDescent="0.2">
      <c r="A39" s="10" t="s">
        <v>77</v>
      </c>
    </row>
    <row r="40" spans="1:1" x14ac:dyDescent="0.2">
      <c r="A40" s="10" t="s">
        <v>80</v>
      </c>
    </row>
    <row r="41" spans="1:1" x14ac:dyDescent="0.2">
      <c r="A41" s="10" t="s">
        <v>81</v>
      </c>
    </row>
    <row r="42" spans="1:1" x14ac:dyDescent="0.2">
      <c r="A42" s="10" t="s">
        <v>252</v>
      </c>
    </row>
    <row r="43" spans="1:1" x14ac:dyDescent="0.2">
      <c r="A43" s="10" t="s">
        <v>253</v>
      </c>
    </row>
    <row r="44" spans="1:1" x14ac:dyDescent="0.2">
      <c r="A44" s="10" t="s">
        <v>254</v>
      </c>
    </row>
    <row r="45" spans="1:1" x14ac:dyDescent="0.2">
      <c r="A45" s="10" t="s">
        <v>85</v>
      </c>
    </row>
    <row r="46" spans="1:1" x14ac:dyDescent="0.2">
      <c r="A46" s="10" t="s">
        <v>86</v>
      </c>
    </row>
    <row r="47" spans="1:1" x14ac:dyDescent="0.2">
      <c r="A47" s="10" t="s">
        <v>255</v>
      </c>
    </row>
    <row r="48" spans="1:1" x14ac:dyDescent="0.2">
      <c r="A48" s="10" t="s">
        <v>256</v>
      </c>
    </row>
    <row r="49" spans="1:1" x14ac:dyDescent="0.2">
      <c r="A49" s="10" t="s">
        <v>89</v>
      </c>
    </row>
    <row r="50" spans="1:1" x14ac:dyDescent="0.2">
      <c r="A50" s="10" t="s">
        <v>87</v>
      </c>
    </row>
    <row r="51" spans="1:1" x14ac:dyDescent="0.2">
      <c r="A51" s="10" t="s">
        <v>90</v>
      </c>
    </row>
    <row r="52" spans="1:1" x14ac:dyDescent="0.2">
      <c r="A52" s="10" t="s">
        <v>91</v>
      </c>
    </row>
    <row r="53" spans="1:1" x14ac:dyDescent="0.2">
      <c r="A53" s="10" t="s">
        <v>92</v>
      </c>
    </row>
    <row r="54" spans="1:1" x14ac:dyDescent="0.2">
      <c r="A54" s="10" t="s">
        <v>94</v>
      </c>
    </row>
    <row r="55" spans="1:1" x14ac:dyDescent="0.2">
      <c r="A55" s="10" t="s">
        <v>257</v>
      </c>
    </row>
    <row r="56" spans="1:1" x14ac:dyDescent="0.2">
      <c r="A56" s="10" t="s">
        <v>258</v>
      </c>
    </row>
    <row r="57" spans="1:1" x14ac:dyDescent="0.2">
      <c r="A57" s="10" t="s">
        <v>100</v>
      </c>
    </row>
    <row r="58" spans="1:1" x14ac:dyDescent="0.2">
      <c r="A58" s="11" t="s">
        <v>101</v>
      </c>
    </row>
    <row r="59" spans="1:1" x14ac:dyDescent="0.2">
      <c r="A59" s="10" t="s">
        <v>97</v>
      </c>
    </row>
    <row r="60" spans="1:1" x14ac:dyDescent="0.2">
      <c r="A60" s="11" t="s">
        <v>99</v>
      </c>
    </row>
    <row r="61" spans="1:1" x14ac:dyDescent="0.2">
      <c r="A61" s="10" t="s">
        <v>98</v>
      </c>
    </row>
    <row r="62" spans="1:1" x14ac:dyDescent="0.2">
      <c r="A62" s="10" t="s">
        <v>103</v>
      </c>
    </row>
    <row r="63" spans="1:1" x14ac:dyDescent="0.2">
      <c r="A63" s="10" t="s">
        <v>104</v>
      </c>
    </row>
    <row r="64" spans="1:1" x14ac:dyDescent="0.2">
      <c r="A64" s="10" t="s">
        <v>105</v>
      </c>
    </row>
    <row r="65" spans="1:1" x14ac:dyDescent="0.2">
      <c r="A65" s="10" t="s">
        <v>259</v>
      </c>
    </row>
    <row r="66" spans="1:1" x14ac:dyDescent="0.2">
      <c r="A66" s="10" t="s">
        <v>106</v>
      </c>
    </row>
    <row r="67" spans="1:1" x14ac:dyDescent="0.2">
      <c r="A67" s="10" t="s">
        <v>107</v>
      </c>
    </row>
    <row r="68" spans="1:1" x14ac:dyDescent="0.2">
      <c r="A68" s="10" t="s">
        <v>108</v>
      </c>
    </row>
    <row r="69" spans="1:1" x14ac:dyDescent="0.2">
      <c r="A69" s="10" t="s">
        <v>109</v>
      </c>
    </row>
    <row r="70" spans="1:1" x14ac:dyDescent="0.2">
      <c r="A70" s="10" t="s">
        <v>110</v>
      </c>
    </row>
    <row r="71" spans="1:1" x14ac:dyDescent="0.2">
      <c r="A71" s="10" t="s">
        <v>111</v>
      </c>
    </row>
    <row r="72" spans="1:1" x14ac:dyDescent="0.2">
      <c r="A72" s="10" t="s">
        <v>112</v>
      </c>
    </row>
    <row r="73" spans="1:1" x14ac:dyDescent="0.2">
      <c r="A73" s="10" t="s">
        <v>113</v>
      </c>
    </row>
    <row r="74" spans="1:1" x14ac:dyDescent="0.2">
      <c r="A74" s="10" t="s">
        <v>115</v>
      </c>
    </row>
    <row r="75" spans="1:1" x14ac:dyDescent="0.2">
      <c r="A75" s="10" t="s">
        <v>118</v>
      </c>
    </row>
    <row r="76" spans="1:1" x14ac:dyDescent="0.2">
      <c r="A76" s="10" t="s">
        <v>121</v>
      </c>
    </row>
    <row r="77" spans="1:1" x14ac:dyDescent="0.2">
      <c r="A77" s="10" t="s">
        <v>122</v>
      </c>
    </row>
    <row r="78" spans="1:1" x14ac:dyDescent="0.2">
      <c r="A78" s="10" t="s">
        <v>260</v>
      </c>
    </row>
    <row r="79" spans="1:1" x14ac:dyDescent="0.2">
      <c r="A79" s="10" t="s">
        <v>261</v>
      </c>
    </row>
    <row r="80" spans="1:1" x14ac:dyDescent="0.2">
      <c r="A80" s="10" t="s">
        <v>262</v>
      </c>
    </row>
    <row r="81" spans="1:1" x14ac:dyDescent="0.2">
      <c r="A81" s="10" t="s">
        <v>263</v>
      </c>
    </row>
    <row r="82" spans="1:1" x14ac:dyDescent="0.2">
      <c r="A82" s="10" t="s">
        <v>264</v>
      </c>
    </row>
    <row r="83" spans="1:1" x14ac:dyDescent="0.2">
      <c r="A83" s="10" t="s">
        <v>265</v>
      </c>
    </row>
    <row r="84" spans="1:1" x14ac:dyDescent="0.2">
      <c r="A84" s="10" t="s">
        <v>266</v>
      </c>
    </row>
    <row r="85" spans="1:1" x14ac:dyDescent="0.2">
      <c r="A85" s="10" t="s">
        <v>267</v>
      </c>
    </row>
    <row r="86" spans="1:1" x14ac:dyDescent="0.2">
      <c r="A86" s="10" t="s">
        <v>70</v>
      </c>
    </row>
    <row r="87" spans="1:1" x14ac:dyDescent="0.2">
      <c r="A87" s="10" t="s">
        <v>268</v>
      </c>
    </row>
    <row r="88" spans="1:1" x14ac:dyDescent="0.2">
      <c r="A88" s="10" t="s">
        <v>269</v>
      </c>
    </row>
    <row r="89" spans="1:1" x14ac:dyDescent="0.2">
      <c r="A89" s="10" t="s">
        <v>119</v>
      </c>
    </row>
    <row r="90" spans="1:1" x14ac:dyDescent="0.2">
      <c r="A90" s="10" t="s">
        <v>270</v>
      </c>
    </row>
    <row r="91" spans="1:1" x14ac:dyDescent="0.2">
      <c r="A91" s="10" t="s">
        <v>271</v>
      </c>
    </row>
    <row r="92" spans="1:1" x14ac:dyDescent="0.2">
      <c r="A92" s="10" t="s">
        <v>272</v>
      </c>
    </row>
    <row r="93" spans="1:1" x14ac:dyDescent="0.2">
      <c r="A93" s="10" t="s">
        <v>273</v>
      </c>
    </row>
    <row r="94" spans="1:1" x14ac:dyDescent="0.2">
      <c r="A94" s="10" t="s">
        <v>274</v>
      </c>
    </row>
    <row r="95" spans="1:1" x14ac:dyDescent="0.2">
      <c r="A95" s="10" t="s">
        <v>275</v>
      </c>
    </row>
    <row r="96" spans="1:1" x14ac:dyDescent="0.2">
      <c r="A96" s="10" t="s">
        <v>276</v>
      </c>
    </row>
    <row r="97" spans="1:1" x14ac:dyDescent="0.2">
      <c r="A97" s="10" t="s">
        <v>277</v>
      </c>
    </row>
    <row r="98" spans="1:1" x14ac:dyDescent="0.2">
      <c r="A98" s="10" t="s">
        <v>278</v>
      </c>
    </row>
    <row r="99" spans="1:1" x14ac:dyDescent="0.2">
      <c r="A99" s="10" t="s">
        <v>279</v>
      </c>
    </row>
    <row r="100" spans="1:1" x14ac:dyDescent="0.2">
      <c r="A100" s="10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5194-8A92-4D46-9AC8-1D73F5D2A5E7}">
  <dimension ref="A1:H221"/>
  <sheetViews>
    <sheetView workbookViewId="0">
      <selection activeCell="J7" sqref="J7"/>
    </sheetView>
  </sheetViews>
  <sheetFormatPr baseColWidth="10" defaultColWidth="10.83203125" defaultRowHeight="16" x14ac:dyDescent="0.2"/>
  <cols>
    <col min="4" max="8" width="10.83203125" style="2"/>
  </cols>
  <sheetData>
    <row r="1" spans="1:8" x14ac:dyDescent="0.2">
      <c r="A1" t="s">
        <v>393</v>
      </c>
      <c r="B1" t="s">
        <v>394</v>
      </c>
      <c r="C1" t="s">
        <v>395</v>
      </c>
      <c r="D1" s="2" t="s">
        <v>396</v>
      </c>
      <c r="E1" s="2" t="s">
        <v>397</v>
      </c>
      <c r="F1" s="2" t="s">
        <v>398</v>
      </c>
      <c r="G1" s="2" t="s">
        <v>399</v>
      </c>
      <c r="H1" s="2" t="s">
        <v>400</v>
      </c>
    </row>
    <row r="2" spans="1:8" x14ac:dyDescent="0.2">
      <c r="A2" t="s">
        <v>401</v>
      </c>
      <c r="B2" t="s">
        <v>402</v>
      </c>
      <c r="C2" t="s">
        <v>403</v>
      </c>
      <c r="D2" s="2">
        <v>0.04</v>
      </c>
      <c r="E2" s="2">
        <v>0</v>
      </c>
      <c r="F2" s="2">
        <v>0</v>
      </c>
      <c r="G2" s="2">
        <v>0.15</v>
      </c>
      <c r="H2" s="2">
        <v>0.19</v>
      </c>
    </row>
    <row r="3" spans="1:8" x14ac:dyDescent="0.2">
      <c r="A3" t="s">
        <v>401</v>
      </c>
      <c r="B3" t="s">
        <v>402</v>
      </c>
      <c r="C3" t="s">
        <v>404</v>
      </c>
      <c r="D3" s="2">
        <v>0.04</v>
      </c>
      <c r="E3" s="2">
        <v>0</v>
      </c>
      <c r="F3" s="2">
        <v>0</v>
      </c>
      <c r="G3" s="2">
        <v>0.16</v>
      </c>
      <c r="H3" s="2">
        <v>0.2</v>
      </c>
    </row>
    <row r="4" spans="1:8" x14ac:dyDescent="0.2">
      <c r="A4" t="s">
        <v>401</v>
      </c>
      <c r="B4" t="s">
        <v>402</v>
      </c>
      <c r="C4" t="s">
        <v>405</v>
      </c>
      <c r="D4" s="2">
        <v>0.04</v>
      </c>
      <c r="E4" s="2">
        <v>0</v>
      </c>
      <c r="F4" s="2">
        <v>0</v>
      </c>
      <c r="G4" s="2">
        <v>0.16500000000000001</v>
      </c>
      <c r="H4" s="2">
        <v>0.20499999999999999</v>
      </c>
    </row>
    <row r="5" spans="1:8" x14ac:dyDescent="0.2">
      <c r="A5" t="s">
        <v>401</v>
      </c>
      <c r="B5" t="s">
        <v>402</v>
      </c>
      <c r="C5" t="s">
        <v>406</v>
      </c>
      <c r="D5" s="2">
        <v>0.04</v>
      </c>
      <c r="E5" s="2">
        <v>0</v>
      </c>
      <c r="F5" s="2">
        <v>0</v>
      </c>
      <c r="G5" s="2">
        <v>0.16</v>
      </c>
      <c r="H5" s="2">
        <v>0.2</v>
      </c>
    </row>
    <row r="6" spans="1:8" x14ac:dyDescent="0.2">
      <c r="A6" t="s">
        <v>401</v>
      </c>
      <c r="B6" t="s">
        <v>402</v>
      </c>
      <c r="C6" t="s">
        <v>407</v>
      </c>
      <c r="D6" s="2">
        <v>0.04</v>
      </c>
      <c r="E6" s="2">
        <v>0</v>
      </c>
      <c r="F6" s="2">
        <v>0</v>
      </c>
      <c r="G6" s="2">
        <v>0.16</v>
      </c>
      <c r="H6" s="2">
        <v>0.2</v>
      </c>
    </row>
    <row r="7" spans="1:8" x14ac:dyDescent="0.2">
      <c r="A7" t="s">
        <v>401</v>
      </c>
      <c r="B7" t="s">
        <v>402</v>
      </c>
      <c r="C7" t="s">
        <v>408</v>
      </c>
      <c r="D7" s="2">
        <v>0.04</v>
      </c>
      <c r="E7" s="2">
        <v>0</v>
      </c>
      <c r="F7" s="2">
        <v>0</v>
      </c>
      <c r="G7" s="2">
        <v>0.13</v>
      </c>
      <c r="H7" s="2">
        <v>0.17</v>
      </c>
    </row>
    <row r="8" spans="1:8" x14ac:dyDescent="0.2">
      <c r="A8" t="s">
        <v>401</v>
      </c>
      <c r="B8" t="s">
        <v>402</v>
      </c>
      <c r="C8" t="s">
        <v>409</v>
      </c>
      <c r="D8" s="2">
        <v>0.04</v>
      </c>
      <c r="E8" s="2">
        <v>0</v>
      </c>
      <c r="F8" s="2">
        <v>0</v>
      </c>
      <c r="G8" s="2">
        <v>0.15</v>
      </c>
      <c r="H8" s="2">
        <v>0.19</v>
      </c>
    </row>
    <row r="9" spans="1:8" x14ac:dyDescent="0.2">
      <c r="A9" t="s">
        <v>401</v>
      </c>
      <c r="B9" t="s">
        <v>402</v>
      </c>
      <c r="C9" t="s">
        <v>410</v>
      </c>
      <c r="D9" s="2">
        <v>0.04</v>
      </c>
      <c r="E9" s="2">
        <v>0</v>
      </c>
      <c r="F9" s="2">
        <v>0</v>
      </c>
      <c r="G9" s="2">
        <v>0.18</v>
      </c>
      <c r="H9" s="2">
        <v>0.22</v>
      </c>
    </row>
    <row r="10" spans="1:8" x14ac:dyDescent="0.2">
      <c r="A10" t="s">
        <v>401</v>
      </c>
      <c r="B10" t="s">
        <v>402</v>
      </c>
      <c r="C10" t="s">
        <v>411</v>
      </c>
      <c r="D10" s="2">
        <v>0.18</v>
      </c>
      <c r="E10" s="2">
        <v>9.5500000000000002E-2</v>
      </c>
      <c r="F10" s="2">
        <v>0</v>
      </c>
      <c r="G10" s="2">
        <v>0</v>
      </c>
      <c r="H10" s="2">
        <v>0.18</v>
      </c>
    </row>
    <row r="11" spans="1:8" x14ac:dyDescent="0.2">
      <c r="A11" t="s">
        <v>401</v>
      </c>
      <c r="B11" t="s">
        <v>402</v>
      </c>
      <c r="C11" t="s">
        <v>412</v>
      </c>
      <c r="D11" s="2">
        <v>0.04</v>
      </c>
      <c r="E11" s="2">
        <v>0</v>
      </c>
      <c r="F11" s="2">
        <v>0</v>
      </c>
      <c r="G11" s="2">
        <v>0.13</v>
      </c>
      <c r="H11" s="2">
        <v>0.17</v>
      </c>
    </row>
    <row r="12" spans="1:8" x14ac:dyDescent="0.2">
      <c r="A12" t="s">
        <v>401</v>
      </c>
      <c r="B12" t="s">
        <v>402</v>
      </c>
      <c r="C12" t="s">
        <v>413</v>
      </c>
      <c r="D12" s="2">
        <v>0.04</v>
      </c>
      <c r="E12" s="2">
        <v>0.22650000000000001</v>
      </c>
      <c r="F12" s="2">
        <v>0.15659999999999999</v>
      </c>
      <c r="G12" s="2">
        <v>0.13</v>
      </c>
      <c r="H12" s="2">
        <v>0.17</v>
      </c>
    </row>
    <row r="13" spans="1:8" x14ac:dyDescent="0.2">
      <c r="A13" t="s">
        <v>401</v>
      </c>
      <c r="B13" t="s">
        <v>402</v>
      </c>
      <c r="C13" t="s">
        <v>414</v>
      </c>
      <c r="D13" s="2">
        <v>0.04</v>
      </c>
      <c r="E13" s="2">
        <v>0</v>
      </c>
      <c r="F13" s="2">
        <v>0</v>
      </c>
      <c r="G13" s="2">
        <v>0.16</v>
      </c>
      <c r="H13" s="2">
        <v>0.2</v>
      </c>
    </row>
    <row r="14" spans="1:8" x14ac:dyDescent="0.2">
      <c r="A14" t="s">
        <v>401</v>
      </c>
      <c r="B14" t="s">
        <v>402</v>
      </c>
      <c r="C14" t="s">
        <v>415</v>
      </c>
      <c r="D14" s="2">
        <v>0.04</v>
      </c>
      <c r="E14" s="2">
        <v>0</v>
      </c>
      <c r="F14" s="2">
        <v>0</v>
      </c>
      <c r="G14" s="2">
        <v>0.17</v>
      </c>
      <c r="H14" s="2">
        <v>0.21</v>
      </c>
    </row>
    <row r="15" spans="1:8" x14ac:dyDescent="0.2">
      <c r="A15" t="s">
        <v>401</v>
      </c>
      <c r="B15" t="s">
        <v>402</v>
      </c>
      <c r="C15" t="s">
        <v>416</v>
      </c>
      <c r="D15" s="2">
        <v>0.04</v>
      </c>
      <c r="E15" s="2">
        <v>0</v>
      </c>
      <c r="F15" s="2">
        <v>0</v>
      </c>
      <c r="G15" s="2">
        <v>0.155</v>
      </c>
      <c r="H15" s="2">
        <v>0.19500000000000001</v>
      </c>
    </row>
    <row r="16" spans="1:8" x14ac:dyDescent="0.2">
      <c r="A16" t="s">
        <v>401</v>
      </c>
      <c r="B16" t="s">
        <v>402</v>
      </c>
      <c r="C16" t="s">
        <v>417</v>
      </c>
      <c r="D16" s="2">
        <v>0.04</v>
      </c>
      <c r="E16" s="2">
        <v>0.39379999999999998</v>
      </c>
      <c r="F16" s="2">
        <v>0.23069999999999999</v>
      </c>
      <c r="G16" s="2">
        <v>0.18</v>
      </c>
      <c r="H16" s="2">
        <v>0.22</v>
      </c>
    </row>
    <row r="17" spans="1:8" x14ac:dyDescent="0.2">
      <c r="A17" t="s">
        <v>401</v>
      </c>
      <c r="B17" t="s">
        <v>402</v>
      </c>
      <c r="C17" t="s">
        <v>418</v>
      </c>
      <c r="D17" s="2">
        <v>0.04</v>
      </c>
      <c r="E17" s="2">
        <v>0</v>
      </c>
      <c r="F17" s="2">
        <v>0</v>
      </c>
      <c r="G17" s="2">
        <v>0.14000000000000001</v>
      </c>
      <c r="H17" s="2">
        <v>0.18</v>
      </c>
    </row>
    <row r="18" spans="1:8" x14ac:dyDescent="0.2">
      <c r="A18" t="s">
        <v>401</v>
      </c>
      <c r="B18" t="s">
        <v>402</v>
      </c>
      <c r="C18" t="s">
        <v>419</v>
      </c>
      <c r="D18" s="2">
        <v>0.04</v>
      </c>
      <c r="E18" s="2">
        <v>0</v>
      </c>
      <c r="F18" s="2">
        <v>0</v>
      </c>
      <c r="G18" s="2">
        <v>0.13</v>
      </c>
      <c r="H18" s="2">
        <v>0.17</v>
      </c>
    </row>
    <row r="19" spans="1:8" x14ac:dyDescent="0.2">
      <c r="A19" t="s">
        <v>401</v>
      </c>
      <c r="B19" t="s">
        <v>402</v>
      </c>
      <c r="C19" t="s">
        <v>420</v>
      </c>
      <c r="D19" s="2">
        <v>0.04</v>
      </c>
      <c r="E19" s="2">
        <v>0</v>
      </c>
      <c r="F19" s="2">
        <v>0</v>
      </c>
      <c r="G19" s="2">
        <v>0.13</v>
      </c>
      <c r="H19" s="2">
        <v>0.17</v>
      </c>
    </row>
    <row r="20" spans="1:8" x14ac:dyDescent="0.2">
      <c r="A20" t="s">
        <v>401</v>
      </c>
      <c r="B20" t="s">
        <v>402</v>
      </c>
      <c r="C20" t="s">
        <v>421</v>
      </c>
      <c r="D20" s="2">
        <v>0.04</v>
      </c>
      <c r="E20" s="2">
        <v>0.1459</v>
      </c>
      <c r="F20" s="2">
        <v>9.0899999999999995E-2</v>
      </c>
      <c r="G20" s="2">
        <v>0.08</v>
      </c>
      <c r="H20" s="2">
        <v>0.12</v>
      </c>
    </row>
    <row r="21" spans="1:8" x14ac:dyDescent="0.2">
      <c r="A21" t="s">
        <v>401</v>
      </c>
      <c r="B21" t="s">
        <v>402</v>
      </c>
      <c r="C21" t="s">
        <v>422</v>
      </c>
      <c r="D21" s="2">
        <v>0.04</v>
      </c>
      <c r="E21" s="2">
        <v>0</v>
      </c>
      <c r="F21" s="2">
        <v>0</v>
      </c>
      <c r="G21" s="2">
        <v>0.16</v>
      </c>
      <c r="H21" s="2">
        <v>0.2</v>
      </c>
    </row>
    <row r="22" spans="1:8" x14ac:dyDescent="0.2">
      <c r="A22" t="s">
        <v>401</v>
      </c>
      <c r="B22" t="s">
        <v>402</v>
      </c>
      <c r="C22" t="s">
        <v>403</v>
      </c>
      <c r="D22" s="2">
        <v>7.0000000000000007E-2</v>
      </c>
      <c r="E22" s="2">
        <v>0</v>
      </c>
      <c r="F22" s="2">
        <v>0</v>
      </c>
      <c r="G22" s="2">
        <v>0.12</v>
      </c>
      <c r="H22" s="2">
        <v>0.19</v>
      </c>
    </row>
    <row r="23" spans="1:8" x14ac:dyDescent="0.2">
      <c r="A23" t="s">
        <v>401</v>
      </c>
      <c r="B23" t="s">
        <v>402</v>
      </c>
      <c r="C23" t="s">
        <v>404</v>
      </c>
      <c r="D23" s="2">
        <v>7.0000000000000007E-2</v>
      </c>
      <c r="E23" s="2">
        <v>0</v>
      </c>
      <c r="F23" s="2">
        <v>0</v>
      </c>
      <c r="G23" s="2">
        <v>0.13</v>
      </c>
      <c r="H23" s="2">
        <v>0.2</v>
      </c>
    </row>
    <row r="24" spans="1:8" x14ac:dyDescent="0.2">
      <c r="A24" t="s">
        <v>401</v>
      </c>
      <c r="B24" t="s">
        <v>402</v>
      </c>
      <c r="C24" t="s">
        <v>405</v>
      </c>
      <c r="D24" s="2">
        <v>7.0000000000000007E-2</v>
      </c>
      <c r="E24" s="2">
        <v>0</v>
      </c>
      <c r="F24" s="2">
        <v>0</v>
      </c>
      <c r="G24" s="2">
        <v>0.13499999999999998</v>
      </c>
      <c r="H24" s="2">
        <v>0.20499999999999999</v>
      </c>
    </row>
    <row r="25" spans="1:8" x14ac:dyDescent="0.2">
      <c r="A25" t="s">
        <v>401</v>
      </c>
      <c r="B25" t="s">
        <v>402</v>
      </c>
      <c r="C25" t="s">
        <v>406</v>
      </c>
      <c r="D25" s="2">
        <v>7.0000000000000007E-2</v>
      </c>
      <c r="E25" s="2">
        <v>0</v>
      </c>
      <c r="F25" s="2">
        <v>0</v>
      </c>
      <c r="G25" s="2">
        <v>0.13</v>
      </c>
      <c r="H25" s="2">
        <v>0.2</v>
      </c>
    </row>
    <row r="26" spans="1:8" x14ac:dyDescent="0.2">
      <c r="A26" t="s">
        <v>401</v>
      </c>
      <c r="B26" t="s">
        <v>402</v>
      </c>
      <c r="C26" t="s">
        <v>407</v>
      </c>
      <c r="D26" s="2">
        <v>7.0000000000000007E-2</v>
      </c>
      <c r="E26" s="2">
        <v>0</v>
      </c>
      <c r="F26" s="2">
        <v>0</v>
      </c>
      <c r="G26" s="2">
        <v>0.13</v>
      </c>
      <c r="H26" s="2">
        <v>0.2</v>
      </c>
    </row>
    <row r="27" spans="1:8" x14ac:dyDescent="0.2">
      <c r="A27" t="s">
        <v>401</v>
      </c>
      <c r="B27" t="s">
        <v>402</v>
      </c>
      <c r="C27" t="s">
        <v>408</v>
      </c>
      <c r="D27" s="2">
        <v>7.0000000000000007E-2</v>
      </c>
      <c r="E27" s="2">
        <v>0</v>
      </c>
      <c r="F27" s="2">
        <v>0</v>
      </c>
      <c r="G27" s="2">
        <v>0.1</v>
      </c>
      <c r="H27" s="2">
        <v>0.17</v>
      </c>
    </row>
    <row r="28" spans="1:8" x14ac:dyDescent="0.2">
      <c r="A28" t="s">
        <v>401</v>
      </c>
      <c r="B28" t="s">
        <v>402</v>
      </c>
      <c r="C28" t="s">
        <v>409</v>
      </c>
      <c r="D28" s="2">
        <v>7.0000000000000007E-2</v>
      </c>
      <c r="E28" s="2">
        <v>0</v>
      </c>
      <c r="F28" s="2">
        <v>0</v>
      </c>
      <c r="G28" s="2">
        <v>0.12</v>
      </c>
      <c r="H28" s="2">
        <v>0.19</v>
      </c>
    </row>
    <row r="29" spans="1:8" x14ac:dyDescent="0.2">
      <c r="A29" t="s">
        <v>401</v>
      </c>
      <c r="B29" t="s">
        <v>402</v>
      </c>
      <c r="C29" t="s">
        <v>410</v>
      </c>
      <c r="D29" s="2">
        <v>7.0000000000000007E-2</v>
      </c>
      <c r="E29" s="2">
        <v>0</v>
      </c>
      <c r="F29" s="2">
        <v>0</v>
      </c>
      <c r="G29" s="2">
        <v>0.15</v>
      </c>
      <c r="H29" s="2">
        <v>0.22</v>
      </c>
    </row>
    <row r="30" spans="1:8" x14ac:dyDescent="0.2">
      <c r="A30" t="s">
        <v>401</v>
      </c>
      <c r="B30" t="s">
        <v>402</v>
      </c>
      <c r="C30" t="s">
        <v>411</v>
      </c>
      <c r="D30" s="2">
        <v>0.18</v>
      </c>
      <c r="E30" s="2">
        <v>9.5500000000000002E-2</v>
      </c>
      <c r="F30" s="2">
        <v>0</v>
      </c>
      <c r="G30" s="2">
        <v>0</v>
      </c>
      <c r="H30" s="2">
        <v>0.18</v>
      </c>
    </row>
    <row r="31" spans="1:8" x14ac:dyDescent="0.2">
      <c r="A31" t="s">
        <v>401</v>
      </c>
      <c r="B31" t="s">
        <v>402</v>
      </c>
      <c r="C31" t="s">
        <v>412</v>
      </c>
      <c r="D31" s="2">
        <v>7.0000000000000007E-2</v>
      </c>
      <c r="E31" s="2">
        <v>0</v>
      </c>
      <c r="F31" s="2">
        <v>0</v>
      </c>
      <c r="G31" s="2">
        <v>0.1</v>
      </c>
      <c r="H31" s="2">
        <v>0.17</v>
      </c>
    </row>
    <row r="32" spans="1:8" x14ac:dyDescent="0.2">
      <c r="A32" t="s">
        <v>401</v>
      </c>
      <c r="B32" t="s">
        <v>402</v>
      </c>
      <c r="C32" t="s">
        <v>413</v>
      </c>
      <c r="D32" s="2">
        <v>7.0000000000000007E-2</v>
      </c>
      <c r="E32" s="2">
        <v>0.20069999999999999</v>
      </c>
      <c r="F32" s="2">
        <v>0.1205</v>
      </c>
      <c r="G32" s="2">
        <v>0.1</v>
      </c>
      <c r="H32" s="2">
        <v>0.17</v>
      </c>
    </row>
    <row r="33" spans="1:8" x14ac:dyDescent="0.2">
      <c r="A33" t="s">
        <v>401</v>
      </c>
      <c r="B33" t="s">
        <v>402</v>
      </c>
      <c r="C33" t="s">
        <v>414</v>
      </c>
      <c r="D33" s="2">
        <v>7.0000000000000007E-2</v>
      </c>
      <c r="E33" s="2">
        <v>0</v>
      </c>
      <c r="F33" s="2">
        <v>0</v>
      </c>
      <c r="G33" s="2">
        <v>0.13</v>
      </c>
      <c r="H33" s="2">
        <v>0.2</v>
      </c>
    </row>
    <row r="34" spans="1:8" x14ac:dyDescent="0.2">
      <c r="A34" t="s">
        <v>401</v>
      </c>
      <c r="B34" t="s">
        <v>402</v>
      </c>
      <c r="C34" t="s">
        <v>415</v>
      </c>
      <c r="D34" s="2">
        <v>7.0000000000000007E-2</v>
      </c>
      <c r="E34" s="2">
        <v>0</v>
      </c>
      <c r="F34" s="2">
        <v>0</v>
      </c>
      <c r="G34" s="2">
        <v>0.13999999999999999</v>
      </c>
      <c r="H34" s="2">
        <v>0.21</v>
      </c>
    </row>
    <row r="35" spans="1:8" x14ac:dyDescent="0.2">
      <c r="A35" t="s">
        <v>401</v>
      </c>
      <c r="B35" t="s">
        <v>402</v>
      </c>
      <c r="C35" t="s">
        <v>416</v>
      </c>
      <c r="D35" s="2">
        <v>0.12</v>
      </c>
      <c r="E35" s="2">
        <v>0</v>
      </c>
      <c r="F35" s="2">
        <v>0</v>
      </c>
      <c r="G35" s="2">
        <v>7.5000000000000011E-2</v>
      </c>
      <c r="H35" s="2">
        <v>0.19500000000000001</v>
      </c>
    </row>
    <row r="36" spans="1:8" x14ac:dyDescent="0.2">
      <c r="A36" t="s">
        <v>401</v>
      </c>
      <c r="B36" t="s">
        <v>402</v>
      </c>
      <c r="C36" t="s">
        <v>417</v>
      </c>
      <c r="D36" s="2">
        <v>0.12</v>
      </c>
      <c r="E36" s="2">
        <v>0.28849999999999998</v>
      </c>
      <c r="F36" s="2">
        <v>0.12820000000000001</v>
      </c>
      <c r="G36" s="2">
        <v>0.1</v>
      </c>
      <c r="H36" s="2">
        <v>0.22</v>
      </c>
    </row>
    <row r="37" spans="1:8" x14ac:dyDescent="0.2">
      <c r="A37" t="s">
        <v>401</v>
      </c>
      <c r="B37" t="s">
        <v>402</v>
      </c>
      <c r="C37" t="s">
        <v>418</v>
      </c>
      <c r="D37" s="2">
        <v>7.0000000000000007E-2</v>
      </c>
      <c r="E37" s="2">
        <v>0</v>
      </c>
      <c r="F37" s="2">
        <v>0</v>
      </c>
      <c r="G37" s="2">
        <v>0.10999999999999999</v>
      </c>
      <c r="H37" s="2">
        <v>0.18</v>
      </c>
    </row>
    <row r="38" spans="1:8" x14ac:dyDescent="0.2">
      <c r="A38" t="s">
        <v>401</v>
      </c>
      <c r="B38" t="s">
        <v>402</v>
      </c>
      <c r="C38" t="s">
        <v>419</v>
      </c>
      <c r="D38" s="2">
        <v>0.12</v>
      </c>
      <c r="E38" s="2">
        <v>0</v>
      </c>
      <c r="F38" s="2">
        <v>0</v>
      </c>
      <c r="G38" s="2">
        <v>5.0000000000000017E-2</v>
      </c>
      <c r="H38" s="2">
        <v>0.17</v>
      </c>
    </row>
    <row r="39" spans="1:8" x14ac:dyDescent="0.2">
      <c r="A39" t="s">
        <v>401</v>
      </c>
      <c r="B39" t="s">
        <v>402</v>
      </c>
      <c r="C39" t="s">
        <v>420</v>
      </c>
      <c r="D39" s="2">
        <v>0.12</v>
      </c>
      <c r="E39" s="2">
        <v>0</v>
      </c>
      <c r="F39" s="2">
        <v>0</v>
      </c>
      <c r="G39" s="2">
        <v>5.0000000000000017E-2</v>
      </c>
      <c r="H39" s="2">
        <v>0.17</v>
      </c>
    </row>
    <row r="40" spans="1:8" x14ac:dyDescent="0.2">
      <c r="A40" t="s">
        <v>401</v>
      </c>
      <c r="B40" t="s">
        <v>402</v>
      </c>
      <c r="C40" t="s">
        <v>421</v>
      </c>
      <c r="D40" s="2">
        <v>0.12</v>
      </c>
      <c r="E40" s="2">
        <v>6.13E-2</v>
      </c>
      <c r="F40" s="2">
        <v>0</v>
      </c>
      <c r="G40" s="2">
        <v>0</v>
      </c>
      <c r="H40" s="2">
        <v>0.12</v>
      </c>
    </row>
    <row r="41" spans="1:8" x14ac:dyDescent="0.2">
      <c r="A41" t="s">
        <v>401</v>
      </c>
      <c r="B41" t="s">
        <v>402</v>
      </c>
      <c r="C41" t="s">
        <v>422</v>
      </c>
      <c r="D41" s="2">
        <v>7.0000000000000007E-2</v>
      </c>
      <c r="E41" s="2">
        <v>0</v>
      </c>
      <c r="F41" s="2">
        <v>0</v>
      </c>
      <c r="G41" s="2">
        <v>0.13</v>
      </c>
      <c r="H41" s="2">
        <v>0.2</v>
      </c>
    </row>
    <row r="42" spans="1:8" x14ac:dyDescent="0.2">
      <c r="A42" t="s">
        <v>423</v>
      </c>
      <c r="B42" t="s">
        <v>424</v>
      </c>
      <c r="C42" t="s">
        <v>403</v>
      </c>
      <c r="D42" s="2">
        <v>7.0000000000000007E-2</v>
      </c>
      <c r="E42" s="2">
        <v>0</v>
      </c>
      <c r="F42" s="2">
        <v>0</v>
      </c>
      <c r="G42" s="2">
        <v>0.12</v>
      </c>
      <c r="H42" s="2">
        <v>0.19</v>
      </c>
    </row>
    <row r="43" spans="1:8" x14ac:dyDescent="0.2">
      <c r="A43" t="s">
        <v>423</v>
      </c>
      <c r="B43" t="s">
        <v>424</v>
      </c>
      <c r="C43" t="s">
        <v>404</v>
      </c>
      <c r="D43" s="2">
        <v>7.0000000000000007E-2</v>
      </c>
      <c r="E43" s="2">
        <v>0</v>
      </c>
      <c r="F43" s="2">
        <v>0</v>
      </c>
      <c r="G43" s="2">
        <v>0.13</v>
      </c>
      <c r="H43" s="2">
        <v>0.2</v>
      </c>
    </row>
    <row r="44" spans="1:8" x14ac:dyDescent="0.2">
      <c r="A44" t="s">
        <v>423</v>
      </c>
      <c r="B44" t="s">
        <v>424</v>
      </c>
      <c r="C44" t="s">
        <v>405</v>
      </c>
      <c r="D44" s="2">
        <v>7.0000000000000007E-2</v>
      </c>
      <c r="E44" s="2">
        <v>0</v>
      </c>
      <c r="F44" s="2">
        <v>0</v>
      </c>
      <c r="G44" s="2">
        <v>0.13499999999999998</v>
      </c>
      <c r="H44" s="2">
        <v>0.20499999999999999</v>
      </c>
    </row>
    <row r="45" spans="1:8" x14ac:dyDescent="0.2">
      <c r="A45" t="s">
        <v>423</v>
      </c>
      <c r="B45" t="s">
        <v>424</v>
      </c>
      <c r="C45" t="s">
        <v>406</v>
      </c>
      <c r="D45" s="2">
        <v>7.0000000000000007E-2</v>
      </c>
      <c r="E45" s="2">
        <v>0</v>
      </c>
      <c r="F45" s="2">
        <v>0</v>
      </c>
      <c r="G45" s="2">
        <v>0.13</v>
      </c>
      <c r="H45" s="2">
        <v>0.2</v>
      </c>
    </row>
    <row r="46" spans="1:8" x14ac:dyDescent="0.2">
      <c r="A46" t="s">
        <v>423</v>
      </c>
      <c r="B46" t="s">
        <v>424</v>
      </c>
      <c r="C46" t="s">
        <v>407</v>
      </c>
      <c r="D46" s="2">
        <v>7.0000000000000007E-2</v>
      </c>
      <c r="E46" s="2">
        <v>0</v>
      </c>
      <c r="F46" s="2">
        <v>0</v>
      </c>
      <c r="G46" s="2">
        <v>0.13</v>
      </c>
      <c r="H46" s="2">
        <v>0.2</v>
      </c>
    </row>
    <row r="47" spans="1:8" x14ac:dyDescent="0.2">
      <c r="A47" t="s">
        <v>423</v>
      </c>
      <c r="B47" t="s">
        <v>424</v>
      </c>
      <c r="C47" t="s">
        <v>408</v>
      </c>
      <c r="D47" s="2">
        <v>7.0000000000000007E-2</v>
      </c>
      <c r="E47" s="2">
        <v>0</v>
      </c>
      <c r="F47" s="2">
        <v>0</v>
      </c>
      <c r="G47" s="2">
        <v>0.1</v>
      </c>
      <c r="H47" s="2">
        <v>0.17</v>
      </c>
    </row>
    <row r="48" spans="1:8" x14ac:dyDescent="0.2">
      <c r="A48" t="s">
        <v>423</v>
      </c>
      <c r="B48" t="s">
        <v>424</v>
      </c>
      <c r="C48" t="s">
        <v>409</v>
      </c>
      <c r="D48" s="2">
        <v>7.0000000000000007E-2</v>
      </c>
      <c r="E48" s="2">
        <v>0</v>
      </c>
      <c r="F48" s="2">
        <v>0</v>
      </c>
      <c r="G48" s="2">
        <v>0.12</v>
      </c>
      <c r="H48" s="2">
        <v>0.19</v>
      </c>
    </row>
    <row r="49" spans="1:8" x14ac:dyDescent="0.2">
      <c r="A49" t="s">
        <v>423</v>
      </c>
      <c r="B49" t="s">
        <v>424</v>
      </c>
      <c r="C49" t="s">
        <v>410</v>
      </c>
      <c r="D49" s="2">
        <v>7.0000000000000007E-2</v>
      </c>
      <c r="E49" s="2">
        <v>0</v>
      </c>
      <c r="F49" s="2">
        <v>0</v>
      </c>
      <c r="G49" s="2">
        <v>0.15</v>
      </c>
      <c r="H49" s="2">
        <v>0.22</v>
      </c>
    </row>
    <row r="50" spans="1:8" x14ac:dyDescent="0.2">
      <c r="A50" t="s">
        <v>423</v>
      </c>
      <c r="B50" t="s">
        <v>424</v>
      </c>
      <c r="C50" t="s">
        <v>411</v>
      </c>
      <c r="D50" s="2">
        <v>0.18</v>
      </c>
      <c r="E50" s="2">
        <v>2.6700000000000002E-2</v>
      </c>
      <c r="F50" s="2">
        <v>0</v>
      </c>
      <c r="G50" s="2">
        <v>0</v>
      </c>
      <c r="H50" s="2">
        <v>0.18</v>
      </c>
    </row>
    <row r="51" spans="1:8" x14ac:dyDescent="0.2">
      <c r="A51" t="s">
        <v>423</v>
      </c>
      <c r="B51" t="s">
        <v>424</v>
      </c>
      <c r="C51" t="s">
        <v>412</v>
      </c>
      <c r="D51" s="2">
        <v>7.0000000000000007E-2</v>
      </c>
      <c r="E51" s="2">
        <v>0</v>
      </c>
      <c r="F51" s="2">
        <v>0</v>
      </c>
      <c r="G51" s="2">
        <v>0.1</v>
      </c>
      <c r="H51" s="2">
        <v>0.17</v>
      </c>
    </row>
    <row r="52" spans="1:8" x14ac:dyDescent="0.2">
      <c r="A52" t="s">
        <v>423</v>
      </c>
      <c r="B52" t="s">
        <v>424</v>
      </c>
      <c r="C52" t="s">
        <v>413</v>
      </c>
      <c r="D52" s="2">
        <v>7.0000000000000007E-2</v>
      </c>
      <c r="E52" s="2">
        <v>0.20069999999999999</v>
      </c>
      <c r="F52" s="2">
        <v>0.1205</v>
      </c>
      <c r="G52" s="2">
        <v>0.1</v>
      </c>
      <c r="H52" s="2">
        <v>0.17</v>
      </c>
    </row>
    <row r="53" spans="1:8" x14ac:dyDescent="0.2">
      <c r="A53" t="s">
        <v>423</v>
      </c>
      <c r="B53" t="s">
        <v>424</v>
      </c>
      <c r="C53" t="s">
        <v>414</v>
      </c>
      <c r="D53" s="2">
        <v>7.0000000000000007E-2</v>
      </c>
      <c r="E53" s="2">
        <v>0</v>
      </c>
      <c r="F53" s="2">
        <v>0</v>
      </c>
      <c r="G53" s="2">
        <v>0.13</v>
      </c>
      <c r="H53" s="2">
        <v>0.2</v>
      </c>
    </row>
    <row r="54" spans="1:8" x14ac:dyDescent="0.2">
      <c r="A54" t="s">
        <v>423</v>
      </c>
      <c r="B54" t="s">
        <v>424</v>
      </c>
      <c r="C54" t="s">
        <v>415</v>
      </c>
      <c r="D54" s="2">
        <v>7.0000000000000007E-2</v>
      </c>
      <c r="E54" s="2">
        <v>0</v>
      </c>
      <c r="F54" s="2">
        <v>0</v>
      </c>
      <c r="G54" s="2">
        <v>0.13999999999999999</v>
      </c>
      <c r="H54" s="2">
        <v>0.21</v>
      </c>
    </row>
    <row r="55" spans="1:8" x14ac:dyDescent="0.2">
      <c r="A55" t="s">
        <v>423</v>
      </c>
      <c r="B55" t="s">
        <v>424</v>
      </c>
      <c r="C55" t="s">
        <v>416</v>
      </c>
      <c r="D55" s="2">
        <v>0.12</v>
      </c>
      <c r="E55" s="2">
        <v>0</v>
      </c>
      <c r="F55" s="2">
        <v>0</v>
      </c>
      <c r="G55" s="2">
        <v>7.5000000000000011E-2</v>
      </c>
      <c r="H55" s="2">
        <v>0.19500000000000001</v>
      </c>
    </row>
    <row r="56" spans="1:8" x14ac:dyDescent="0.2">
      <c r="A56" t="s">
        <v>423</v>
      </c>
      <c r="B56" t="s">
        <v>424</v>
      </c>
      <c r="C56" t="s">
        <v>417</v>
      </c>
      <c r="D56" s="2">
        <v>0.12</v>
      </c>
      <c r="E56" s="2">
        <v>0.23699999999999999</v>
      </c>
      <c r="F56" s="2">
        <v>0.12820000000000001</v>
      </c>
      <c r="G56" s="2">
        <v>0.1</v>
      </c>
      <c r="H56" s="2">
        <v>0.22</v>
      </c>
    </row>
    <row r="57" spans="1:8" x14ac:dyDescent="0.2">
      <c r="A57" t="s">
        <v>423</v>
      </c>
      <c r="B57" t="s">
        <v>424</v>
      </c>
      <c r="C57" t="s">
        <v>418</v>
      </c>
      <c r="D57" s="2">
        <v>7.0000000000000007E-2</v>
      </c>
      <c r="E57" s="2">
        <v>0</v>
      </c>
      <c r="F57" s="2">
        <v>0</v>
      </c>
      <c r="G57" s="2">
        <v>0.10999999999999999</v>
      </c>
      <c r="H57" s="2">
        <v>0.18</v>
      </c>
    </row>
    <row r="58" spans="1:8" x14ac:dyDescent="0.2">
      <c r="A58" t="s">
        <v>423</v>
      </c>
      <c r="B58" t="s">
        <v>424</v>
      </c>
      <c r="C58" t="s">
        <v>419</v>
      </c>
      <c r="D58" s="2">
        <v>0.12</v>
      </c>
      <c r="E58" s="2">
        <v>0</v>
      </c>
      <c r="F58" s="2">
        <v>0</v>
      </c>
      <c r="G58" s="2">
        <v>5.0000000000000017E-2</v>
      </c>
      <c r="H58" s="2">
        <v>0.17</v>
      </c>
    </row>
    <row r="59" spans="1:8" x14ac:dyDescent="0.2">
      <c r="A59" t="s">
        <v>423</v>
      </c>
      <c r="B59" t="s">
        <v>424</v>
      </c>
      <c r="C59" t="s">
        <v>420</v>
      </c>
      <c r="D59" s="2">
        <v>0.12</v>
      </c>
      <c r="E59" s="2">
        <v>0</v>
      </c>
      <c r="F59" s="2">
        <v>0</v>
      </c>
      <c r="G59" s="2">
        <v>5.0000000000000017E-2</v>
      </c>
      <c r="H59" s="2">
        <v>0.17</v>
      </c>
    </row>
    <row r="60" spans="1:8" x14ac:dyDescent="0.2">
      <c r="A60" t="s">
        <v>423</v>
      </c>
      <c r="B60" t="s">
        <v>424</v>
      </c>
      <c r="C60" t="s">
        <v>421</v>
      </c>
      <c r="D60" s="2">
        <v>0.12</v>
      </c>
      <c r="E60" s="2">
        <v>3.61E-2</v>
      </c>
      <c r="F60" s="2">
        <v>0</v>
      </c>
      <c r="G60" s="2">
        <v>0</v>
      </c>
      <c r="H60" s="2">
        <v>0.12</v>
      </c>
    </row>
    <row r="61" spans="1:8" x14ac:dyDescent="0.2">
      <c r="A61" t="s">
        <v>423</v>
      </c>
      <c r="B61" t="s">
        <v>424</v>
      </c>
      <c r="C61" t="s">
        <v>422</v>
      </c>
      <c r="D61" s="2">
        <v>7.0000000000000007E-2</v>
      </c>
      <c r="E61" s="2">
        <v>0</v>
      </c>
      <c r="F61" s="2">
        <v>0</v>
      </c>
      <c r="G61" s="2">
        <v>0.13</v>
      </c>
      <c r="H61" s="2">
        <v>0.2</v>
      </c>
    </row>
    <row r="62" spans="1:8" x14ac:dyDescent="0.2">
      <c r="A62" t="s">
        <v>425</v>
      </c>
      <c r="B62" t="s">
        <v>424</v>
      </c>
      <c r="C62" t="s">
        <v>403</v>
      </c>
      <c r="D62" s="2">
        <v>0.04</v>
      </c>
      <c r="E62" s="2">
        <v>0</v>
      </c>
      <c r="F62" s="2">
        <v>0</v>
      </c>
      <c r="G62" s="2">
        <v>0.15</v>
      </c>
      <c r="H62" s="2">
        <v>0.19</v>
      </c>
    </row>
    <row r="63" spans="1:8" x14ac:dyDescent="0.2">
      <c r="A63" t="s">
        <v>425</v>
      </c>
      <c r="B63" t="s">
        <v>424</v>
      </c>
      <c r="C63" t="s">
        <v>404</v>
      </c>
      <c r="D63" s="2">
        <v>0.04</v>
      </c>
      <c r="E63" s="2">
        <v>0</v>
      </c>
      <c r="F63" s="2">
        <v>0</v>
      </c>
      <c r="G63" s="2">
        <v>0.16</v>
      </c>
      <c r="H63" s="2">
        <v>0.2</v>
      </c>
    </row>
    <row r="64" spans="1:8" x14ac:dyDescent="0.2">
      <c r="A64" t="s">
        <v>425</v>
      </c>
      <c r="B64" t="s">
        <v>424</v>
      </c>
      <c r="C64" t="s">
        <v>405</v>
      </c>
      <c r="D64" s="2">
        <v>0.04</v>
      </c>
      <c r="E64" s="2">
        <v>0</v>
      </c>
      <c r="F64" s="2">
        <v>0</v>
      </c>
      <c r="G64" s="2">
        <v>0.16500000000000001</v>
      </c>
      <c r="H64" s="2">
        <v>0.20499999999999999</v>
      </c>
    </row>
    <row r="65" spans="1:8" x14ac:dyDescent="0.2">
      <c r="A65" t="s">
        <v>425</v>
      </c>
      <c r="B65" t="s">
        <v>424</v>
      </c>
      <c r="C65" t="s">
        <v>406</v>
      </c>
      <c r="D65" s="2">
        <v>0.04</v>
      </c>
      <c r="E65" s="2">
        <v>0</v>
      </c>
      <c r="F65" s="2">
        <v>0</v>
      </c>
      <c r="G65" s="2">
        <v>0.16</v>
      </c>
      <c r="H65" s="2">
        <v>0.2</v>
      </c>
    </row>
    <row r="66" spans="1:8" x14ac:dyDescent="0.2">
      <c r="A66" t="s">
        <v>425</v>
      </c>
      <c r="B66" t="s">
        <v>424</v>
      </c>
      <c r="C66" t="s">
        <v>407</v>
      </c>
      <c r="D66" s="2">
        <v>0.04</v>
      </c>
      <c r="E66" s="2">
        <v>0</v>
      </c>
      <c r="F66" s="2">
        <v>0</v>
      </c>
      <c r="G66" s="2">
        <v>0.16</v>
      </c>
      <c r="H66" s="2">
        <v>0.2</v>
      </c>
    </row>
    <row r="67" spans="1:8" x14ac:dyDescent="0.2">
      <c r="A67" t="s">
        <v>425</v>
      </c>
      <c r="B67" t="s">
        <v>424</v>
      </c>
      <c r="C67" t="s">
        <v>408</v>
      </c>
      <c r="D67" s="2">
        <v>0.04</v>
      </c>
      <c r="E67" s="2">
        <v>0</v>
      </c>
      <c r="F67" s="2">
        <v>0</v>
      </c>
      <c r="G67" s="2">
        <v>0.13</v>
      </c>
      <c r="H67" s="2">
        <v>0.17</v>
      </c>
    </row>
    <row r="68" spans="1:8" x14ac:dyDescent="0.2">
      <c r="A68" t="s">
        <v>425</v>
      </c>
      <c r="B68" t="s">
        <v>424</v>
      </c>
      <c r="C68" t="s">
        <v>409</v>
      </c>
      <c r="D68" s="2">
        <v>0.04</v>
      </c>
      <c r="E68" s="2">
        <v>0</v>
      </c>
      <c r="F68" s="2">
        <v>0</v>
      </c>
      <c r="G68" s="2">
        <v>0.15</v>
      </c>
      <c r="H68" s="2">
        <v>0.19</v>
      </c>
    </row>
    <row r="69" spans="1:8" x14ac:dyDescent="0.2">
      <c r="A69" t="s">
        <v>425</v>
      </c>
      <c r="B69" t="s">
        <v>424</v>
      </c>
      <c r="C69" t="s">
        <v>410</v>
      </c>
      <c r="D69" s="2">
        <v>0.04</v>
      </c>
      <c r="E69" s="2">
        <v>0</v>
      </c>
      <c r="F69" s="2">
        <v>0</v>
      </c>
      <c r="G69" s="2">
        <v>0.18</v>
      </c>
      <c r="H69" s="2">
        <v>0.22</v>
      </c>
    </row>
    <row r="70" spans="1:8" x14ac:dyDescent="0.2">
      <c r="A70" t="s">
        <v>425</v>
      </c>
      <c r="B70" t="s">
        <v>424</v>
      </c>
      <c r="C70" t="s">
        <v>411</v>
      </c>
      <c r="D70" s="2">
        <v>0.18</v>
      </c>
      <c r="E70" s="2">
        <v>6.8500000000000005E-2</v>
      </c>
      <c r="F70" s="2">
        <v>0</v>
      </c>
      <c r="G70" s="2">
        <v>0</v>
      </c>
      <c r="H70" s="2">
        <v>0.18</v>
      </c>
    </row>
    <row r="71" spans="1:8" x14ac:dyDescent="0.2">
      <c r="A71" t="s">
        <v>425</v>
      </c>
      <c r="B71" t="s">
        <v>424</v>
      </c>
      <c r="C71" t="s">
        <v>412</v>
      </c>
      <c r="D71" s="2">
        <v>0.04</v>
      </c>
      <c r="E71" s="2">
        <v>0</v>
      </c>
      <c r="F71" s="2">
        <v>0</v>
      </c>
      <c r="G71" s="2">
        <v>0.13</v>
      </c>
      <c r="H71" s="2">
        <v>0.17</v>
      </c>
    </row>
    <row r="72" spans="1:8" x14ac:dyDescent="0.2">
      <c r="A72" t="s">
        <v>425</v>
      </c>
      <c r="B72" t="s">
        <v>424</v>
      </c>
      <c r="C72" t="s">
        <v>413</v>
      </c>
      <c r="D72" s="2">
        <v>0.04</v>
      </c>
      <c r="E72" s="2">
        <v>0.2268</v>
      </c>
      <c r="F72" s="2">
        <v>0.15659999999999999</v>
      </c>
      <c r="G72" s="2">
        <v>0.13</v>
      </c>
      <c r="H72" s="2">
        <v>0.17</v>
      </c>
    </row>
    <row r="73" spans="1:8" x14ac:dyDescent="0.2">
      <c r="A73" t="s">
        <v>425</v>
      </c>
      <c r="B73" t="s">
        <v>424</v>
      </c>
      <c r="C73" t="s">
        <v>414</v>
      </c>
      <c r="D73" s="2">
        <v>0.04</v>
      </c>
      <c r="E73" s="2">
        <v>0</v>
      </c>
      <c r="F73" s="2">
        <v>0</v>
      </c>
      <c r="G73" s="2">
        <v>0.16</v>
      </c>
      <c r="H73" s="2">
        <v>0.2</v>
      </c>
    </row>
    <row r="74" spans="1:8" x14ac:dyDescent="0.2">
      <c r="A74" t="s">
        <v>425</v>
      </c>
      <c r="B74" t="s">
        <v>424</v>
      </c>
      <c r="C74" t="s">
        <v>415</v>
      </c>
      <c r="D74" s="2">
        <v>0.04</v>
      </c>
      <c r="E74" s="2">
        <v>0</v>
      </c>
      <c r="F74" s="2">
        <v>0</v>
      </c>
      <c r="G74" s="2">
        <v>0.17</v>
      </c>
      <c r="H74" s="2">
        <v>0.21</v>
      </c>
    </row>
    <row r="75" spans="1:8" x14ac:dyDescent="0.2">
      <c r="A75" t="s">
        <v>425</v>
      </c>
      <c r="B75" t="s">
        <v>424</v>
      </c>
      <c r="C75" t="s">
        <v>416</v>
      </c>
      <c r="D75" s="2">
        <v>0.04</v>
      </c>
      <c r="E75" s="2">
        <v>0</v>
      </c>
      <c r="F75" s="2">
        <v>0</v>
      </c>
      <c r="G75" s="2">
        <v>0.155</v>
      </c>
      <c r="H75" s="2">
        <v>0.19500000000000001</v>
      </c>
    </row>
    <row r="76" spans="1:8" x14ac:dyDescent="0.2">
      <c r="A76" t="s">
        <v>425</v>
      </c>
      <c r="B76" t="s">
        <v>424</v>
      </c>
      <c r="C76" t="s">
        <v>417</v>
      </c>
      <c r="D76" s="2">
        <v>0.04</v>
      </c>
      <c r="E76" s="2">
        <v>0.33760000000000001</v>
      </c>
      <c r="F76" s="2">
        <v>0.23069999999999999</v>
      </c>
      <c r="G76" s="2">
        <v>0.18</v>
      </c>
      <c r="H76" s="2">
        <v>0.22</v>
      </c>
    </row>
    <row r="77" spans="1:8" x14ac:dyDescent="0.2">
      <c r="A77" t="s">
        <v>425</v>
      </c>
      <c r="B77" t="s">
        <v>424</v>
      </c>
      <c r="C77" t="s">
        <v>418</v>
      </c>
      <c r="D77" s="2">
        <v>0.04</v>
      </c>
      <c r="E77" s="2">
        <v>0</v>
      </c>
      <c r="F77" s="2">
        <v>0</v>
      </c>
      <c r="G77" s="2">
        <v>0.14000000000000001</v>
      </c>
      <c r="H77" s="2">
        <v>0.18</v>
      </c>
    </row>
    <row r="78" spans="1:8" x14ac:dyDescent="0.2">
      <c r="A78" t="s">
        <v>425</v>
      </c>
      <c r="B78" t="s">
        <v>424</v>
      </c>
      <c r="C78" t="s">
        <v>419</v>
      </c>
      <c r="D78" s="2">
        <v>0.04</v>
      </c>
      <c r="E78" s="2">
        <v>0</v>
      </c>
      <c r="F78" s="2">
        <v>0</v>
      </c>
      <c r="G78" s="2">
        <v>0.13</v>
      </c>
      <c r="H78" s="2">
        <v>0.17</v>
      </c>
    </row>
    <row r="79" spans="1:8" x14ac:dyDescent="0.2">
      <c r="A79" t="s">
        <v>425</v>
      </c>
      <c r="B79" t="s">
        <v>424</v>
      </c>
      <c r="C79" t="s">
        <v>420</v>
      </c>
      <c r="D79" s="2">
        <v>0.04</v>
      </c>
      <c r="E79" s="2">
        <v>0</v>
      </c>
      <c r="F79" s="2">
        <v>0</v>
      </c>
      <c r="G79" s="2">
        <v>0.13</v>
      </c>
      <c r="H79" s="2">
        <v>0.17</v>
      </c>
    </row>
    <row r="80" spans="1:8" x14ac:dyDescent="0.2">
      <c r="A80" t="s">
        <v>425</v>
      </c>
      <c r="B80" t="s">
        <v>424</v>
      </c>
      <c r="C80" t="s">
        <v>421</v>
      </c>
      <c r="D80" s="2">
        <v>0.04</v>
      </c>
      <c r="E80" s="2">
        <v>0.11840000000000001</v>
      </c>
      <c r="F80" s="2">
        <v>9.0899999999999995E-2</v>
      </c>
      <c r="G80" s="2">
        <v>0.08</v>
      </c>
      <c r="H80" s="2">
        <v>0.12</v>
      </c>
    </row>
    <row r="81" spans="1:8" x14ac:dyDescent="0.2">
      <c r="A81" t="s">
        <v>425</v>
      </c>
      <c r="B81" t="s">
        <v>424</v>
      </c>
      <c r="C81" t="s">
        <v>422</v>
      </c>
      <c r="D81" s="2">
        <v>0.04</v>
      </c>
      <c r="E81" s="2">
        <v>0</v>
      </c>
      <c r="F81" s="2">
        <v>0</v>
      </c>
      <c r="G81" s="2">
        <v>0.16</v>
      </c>
      <c r="H81" s="2">
        <v>0.2</v>
      </c>
    </row>
    <row r="82" spans="1:8" x14ac:dyDescent="0.2">
      <c r="A82" t="s">
        <v>425</v>
      </c>
      <c r="B82" t="s">
        <v>424</v>
      </c>
      <c r="C82" t="s">
        <v>403</v>
      </c>
      <c r="D82" s="2">
        <v>7.0000000000000007E-2</v>
      </c>
      <c r="E82" s="2">
        <v>0</v>
      </c>
      <c r="F82" s="2">
        <v>0</v>
      </c>
      <c r="G82" s="2">
        <v>0.12</v>
      </c>
      <c r="H82" s="2">
        <v>0.19</v>
      </c>
    </row>
    <row r="83" spans="1:8" x14ac:dyDescent="0.2">
      <c r="A83" t="s">
        <v>425</v>
      </c>
      <c r="B83" t="s">
        <v>424</v>
      </c>
      <c r="C83" t="s">
        <v>404</v>
      </c>
      <c r="D83" s="2">
        <v>7.0000000000000007E-2</v>
      </c>
      <c r="E83" s="2">
        <v>0</v>
      </c>
      <c r="F83" s="2">
        <v>0</v>
      </c>
      <c r="G83" s="2">
        <v>0.13</v>
      </c>
      <c r="H83" s="2">
        <v>0.2</v>
      </c>
    </row>
    <row r="84" spans="1:8" x14ac:dyDescent="0.2">
      <c r="A84" t="s">
        <v>425</v>
      </c>
      <c r="B84" t="s">
        <v>424</v>
      </c>
      <c r="C84" t="s">
        <v>405</v>
      </c>
      <c r="D84" s="2">
        <v>7.0000000000000007E-2</v>
      </c>
      <c r="E84" s="2">
        <v>0</v>
      </c>
      <c r="F84" s="2">
        <v>0</v>
      </c>
      <c r="G84" s="2">
        <v>0.13499999999999998</v>
      </c>
      <c r="H84" s="2">
        <v>0.20499999999999999</v>
      </c>
    </row>
    <row r="85" spans="1:8" x14ac:dyDescent="0.2">
      <c r="A85" t="s">
        <v>425</v>
      </c>
      <c r="B85" t="s">
        <v>424</v>
      </c>
      <c r="C85" t="s">
        <v>406</v>
      </c>
      <c r="D85" s="2">
        <v>7.0000000000000007E-2</v>
      </c>
      <c r="E85" s="2">
        <v>0</v>
      </c>
      <c r="F85" s="2">
        <v>0</v>
      </c>
      <c r="G85" s="2">
        <v>0.13</v>
      </c>
      <c r="H85" s="2">
        <v>0.2</v>
      </c>
    </row>
    <row r="86" spans="1:8" x14ac:dyDescent="0.2">
      <c r="A86" t="s">
        <v>425</v>
      </c>
      <c r="B86" t="s">
        <v>424</v>
      </c>
      <c r="C86" t="s">
        <v>407</v>
      </c>
      <c r="D86" s="2">
        <v>7.0000000000000007E-2</v>
      </c>
      <c r="E86" s="2">
        <v>0</v>
      </c>
      <c r="F86" s="2">
        <v>0</v>
      </c>
      <c r="G86" s="2">
        <v>0.13</v>
      </c>
      <c r="H86" s="2">
        <v>0.2</v>
      </c>
    </row>
    <row r="87" spans="1:8" x14ac:dyDescent="0.2">
      <c r="A87" t="s">
        <v>425</v>
      </c>
      <c r="B87" t="s">
        <v>424</v>
      </c>
      <c r="C87" t="s">
        <v>408</v>
      </c>
      <c r="D87" s="2">
        <v>7.0000000000000007E-2</v>
      </c>
      <c r="E87" s="2">
        <v>0</v>
      </c>
      <c r="F87" s="2">
        <v>0</v>
      </c>
      <c r="G87" s="2">
        <v>0.1</v>
      </c>
      <c r="H87" s="2">
        <v>0.17</v>
      </c>
    </row>
    <row r="88" spans="1:8" x14ac:dyDescent="0.2">
      <c r="A88" t="s">
        <v>425</v>
      </c>
      <c r="B88" t="s">
        <v>424</v>
      </c>
      <c r="C88" t="s">
        <v>409</v>
      </c>
      <c r="D88" s="2">
        <v>7.0000000000000007E-2</v>
      </c>
      <c r="E88" s="2">
        <v>0</v>
      </c>
      <c r="F88" s="2">
        <v>0</v>
      </c>
      <c r="G88" s="2">
        <v>0.12</v>
      </c>
      <c r="H88" s="2">
        <v>0.19</v>
      </c>
    </row>
    <row r="89" spans="1:8" x14ac:dyDescent="0.2">
      <c r="A89" t="s">
        <v>425</v>
      </c>
      <c r="B89" t="s">
        <v>424</v>
      </c>
      <c r="C89" t="s">
        <v>410</v>
      </c>
      <c r="D89" s="2">
        <v>7.0000000000000007E-2</v>
      </c>
      <c r="E89" s="2">
        <v>0</v>
      </c>
      <c r="F89" s="2">
        <v>0</v>
      </c>
      <c r="G89" s="2">
        <v>0.15</v>
      </c>
      <c r="H89" s="2">
        <v>0.22</v>
      </c>
    </row>
    <row r="90" spans="1:8" x14ac:dyDescent="0.2">
      <c r="A90" t="s">
        <v>425</v>
      </c>
      <c r="B90" t="s">
        <v>424</v>
      </c>
      <c r="C90" t="s">
        <v>411</v>
      </c>
      <c r="D90" s="2">
        <v>0.18</v>
      </c>
      <c r="E90" s="2">
        <v>6.8500000000000005E-2</v>
      </c>
      <c r="F90" s="2">
        <v>0</v>
      </c>
      <c r="G90" s="2">
        <v>0</v>
      </c>
      <c r="H90" s="2">
        <v>0.18</v>
      </c>
    </row>
    <row r="91" spans="1:8" x14ac:dyDescent="0.2">
      <c r="A91" t="s">
        <v>425</v>
      </c>
      <c r="B91" t="s">
        <v>424</v>
      </c>
      <c r="C91" t="s">
        <v>412</v>
      </c>
      <c r="D91" s="2">
        <v>7.0000000000000007E-2</v>
      </c>
      <c r="E91" s="2">
        <v>0</v>
      </c>
      <c r="F91" s="2">
        <v>0</v>
      </c>
      <c r="G91" s="2">
        <v>0.1</v>
      </c>
      <c r="H91" s="2">
        <v>0.17</v>
      </c>
    </row>
    <row r="92" spans="1:8" x14ac:dyDescent="0.2">
      <c r="A92" t="s">
        <v>425</v>
      </c>
      <c r="B92" t="s">
        <v>424</v>
      </c>
      <c r="C92" t="s">
        <v>413</v>
      </c>
      <c r="D92" s="2">
        <v>7.0000000000000007E-2</v>
      </c>
      <c r="E92" s="2">
        <v>0.20069999999999999</v>
      </c>
      <c r="F92" s="2">
        <v>0.1205</v>
      </c>
      <c r="G92" s="2">
        <v>0.1</v>
      </c>
      <c r="H92" s="2">
        <v>0.17</v>
      </c>
    </row>
    <row r="93" spans="1:8" x14ac:dyDescent="0.2">
      <c r="A93" t="s">
        <v>425</v>
      </c>
      <c r="B93" t="s">
        <v>424</v>
      </c>
      <c r="C93" t="s">
        <v>414</v>
      </c>
      <c r="D93" s="2">
        <v>7.0000000000000007E-2</v>
      </c>
      <c r="E93" s="2">
        <v>0</v>
      </c>
      <c r="F93" s="2">
        <v>0</v>
      </c>
      <c r="G93" s="2">
        <v>0.13</v>
      </c>
      <c r="H93" s="2">
        <v>0.2</v>
      </c>
    </row>
    <row r="94" spans="1:8" x14ac:dyDescent="0.2">
      <c r="A94" t="s">
        <v>425</v>
      </c>
      <c r="B94" t="s">
        <v>424</v>
      </c>
      <c r="C94" t="s">
        <v>415</v>
      </c>
      <c r="D94" s="2">
        <v>7.0000000000000007E-2</v>
      </c>
      <c r="E94" s="2">
        <v>0</v>
      </c>
      <c r="F94" s="2">
        <v>0</v>
      </c>
      <c r="G94" s="2">
        <v>0.13999999999999999</v>
      </c>
      <c r="H94" s="2">
        <v>0.21</v>
      </c>
    </row>
    <row r="95" spans="1:8" x14ac:dyDescent="0.2">
      <c r="A95" t="s">
        <v>425</v>
      </c>
      <c r="B95" t="s">
        <v>424</v>
      </c>
      <c r="C95" t="s">
        <v>416</v>
      </c>
      <c r="D95" s="2">
        <v>0.12</v>
      </c>
      <c r="E95" s="2">
        <v>0</v>
      </c>
      <c r="F95" s="2">
        <v>0</v>
      </c>
      <c r="G95" s="2">
        <v>7.5000000000000011E-2</v>
      </c>
      <c r="H95" s="2">
        <v>0.19500000000000001</v>
      </c>
    </row>
    <row r="96" spans="1:8" x14ac:dyDescent="0.2">
      <c r="A96" t="s">
        <v>425</v>
      </c>
      <c r="B96" t="s">
        <v>424</v>
      </c>
      <c r="C96" t="s">
        <v>417</v>
      </c>
      <c r="D96" s="2">
        <v>0.12</v>
      </c>
      <c r="E96" s="2">
        <v>0.23699999999999999</v>
      </c>
      <c r="F96" s="2">
        <v>0.12820000000000001</v>
      </c>
      <c r="G96" s="2">
        <v>0.1</v>
      </c>
      <c r="H96" s="2">
        <v>0.22</v>
      </c>
    </row>
    <row r="97" spans="1:8" x14ac:dyDescent="0.2">
      <c r="A97" t="s">
        <v>425</v>
      </c>
      <c r="B97" t="s">
        <v>424</v>
      </c>
      <c r="C97" t="s">
        <v>418</v>
      </c>
      <c r="D97" s="2">
        <v>7.0000000000000007E-2</v>
      </c>
      <c r="E97" s="2">
        <v>0</v>
      </c>
      <c r="F97" s="2">
        <v>0</v>
      </c>
      <c r="G97" s="2">
        <v>0.10999999999999999</v>
      </c>
      <c r="H97" s="2">
        <v>0.18</v>
      </c>
    </row>
    <row r="98" spans="1:8" x14ac:dyDescent="0.2">
      <c r="A98" t="s">
        <v>425</v>
      </c>
      <c r="B98" t="s">
        <v>424</v>
      </c>
      <c r="C98" t="s">
        <v>419</v>
      </c>
      <c r="D98" s="2">
        <v>0.12</v>
      </c>
      <c r="E98" s="2">
        <v>0</v>
      </c>
      <c r="F98" s="2">
        <v>0</v>
      </c>
      <c r="G98" s="2">
        <v>5.0000000000000017E-2</v>
      </c>
      <c r="H98" s="2">
        <v>0.17</v>
      </c>
    </row>
    <row r="99" spans="1:8" x14ac:dyDescent="0.2">
      <c r="A99" t="s">
        <v>425</v>
      </c>
      <c r="B99" t="s">
        <v>424</v>
      </c>
      <c r="C99" t="s">
        <v>420</v>
      </c>
      <c r="D99" s="2">
        <v>0.12</v>
      </c>
      <c r="E99" s="2">
        <v>0</v>
      </c>
      <c r="F99" s="2">
        <v>0</v>
      </c>
      <c r="G99" s="2">
        <v>5.0000000000000017E-2</v>
      </c>
      <c r="H99" s="2">
        <v>0.17</v>
      </c>
    </row>
    <row r="100" spans="1:8" x14ac:dyDescent="0.2">
      <c r="A100" t="s">
        <v>425</v>
      </c>
      <c r="B100" t="s">
        <v>424</v>
      </c>
      <c r="C100" t="s">
        <v>421</v>
      </c>
      <c r="D100" s="2">
        <v>0.12</v>
      </c>
      <c r="E100" s="2">
        <v>3.61E-2</v>
      </c>
      <c r="F100" s="2">
        <v>0</v>
      </c>
      <c r="G100" s="2">
        <v>0</v>
      </c>
      <c r="H100" s="2">
        <v>0.12</v>
      </c>
    </row>
    <row r="101" spans="1:8" x14ac:dyDescent="0.2">
      <c r="A101" t="s">
        <v>425</v>
      </c>
      <c r="B101" t="s">
        <v>424</v>
      </c>
      <c r="C101" t="s">
        <v>422</v>
      </c>
      <c r="D101" s="2">
        <v>7.0000000000000007E-2</v>
      </c>
      <c r="E101" s="2">
        <v>0</v>
      </c>
      <c r="F101" s="2">
        <v>0</v>
      </c>
      <c r="G101" s="2">
        <v>0.13</v>
      </c>
      <c r="H101" s="2">
        <v>0.2</v>
      </c>
    </row>
    <row r="102" spans="1:8" x14ac:dyDescent="0.2">
      <c r="A102" t="s">
        <v>426</v>
      </c>
      <c r="B102" t="s">
        <v>427</v>
      </c>
      <c r="C102" t="s">
        <v>403</v>
      </c>
      <c r="D102" s="2">
        <v>0.04</v>
      </c>
      <c r="E102" s="2">
        <v>0</v>
      </c>
      <c r="F102" s="2">
        <v>0</v>
      </c>
      <c r="G102" s="2">
        <v>0.15</v>
      </c>
      <c r="H102" s="2">
        <v>0.19</v>
      </c>
    </row>
    <row r="103" spans="1:8" x14ac:dyDescent="0.2">
      <c r="A103" t="s">
        <v>426</v>
      </c>
      <c r="B103" t="s">
        <v>427</v>
      </c>
      <c r="C103" t="s">
        <v>404</v>
      </c>
      <c r="D103" s="2">
        <v>0.04</v>
      </c>
      <c r="E103" s="2">
        <v>0</v>
      </c>
      <c r="F103" s="2">
        <v>0</v>
      </c>
      <c r="G103" s="2">
        <v>0.16</v>
      </c>
      <c r="H103" s="2">
        <v>0.2</v>
      </c>
    </row>
    <row r="104" spans="1:8" x14ac:dyDescent="0.2">
      <c r="A104" t="s">
        <v>426</v>
      </c>
      <c r="B104" t="s">
        <v>427</v>
      </c>
      <c r="C104" t="s">
        <v>405</v>
      </c>
      <c r="D104" s="2">
        <v>0.04</v>
      </c>
      <c r="E104" s="2">
        <v>0</v>
      </c>
      <c r="F104" s="2">
        <v>0</v>
      </c>
      <c r="G104" s="2">
        <v>0.16500000000000001</v>
      </c>
      <c r="H104" s="2">
        <v>0.20499999999999999</v>
      </c>
    </row>
    <row r="105" spans="1:8" x14ac:dyDescent="0.2">
      <c r="A105" t="s">
        <v>426</v>
      </c>
      <c r="B105" t="s">
        <v>427</v>
      </c>
      <c r="C105" t="s">
        <v>406</v>
      </c>
      <c r="D105" s="2">
        <v>0.04</v>
      </c>
      <c r="E105" s="2">
        <v>0</v>
      </c>
      <c r="F105" s="2">
        <v>0</v>
      </c>
      <c r="G105" s="2">
        <v>0.16</v>
      </c>
      <c r="H105" s="2">
        <v>0.2</v>
      </c>
    </row>
    <row r="106" spans="1:8" x14ac:dyDescent="0.2">
      <c r="A106" t="s">
        <v>426</v>
      </c>
      <c r="B106" t="s">
        <v>427</v>
      </c>
      <c r="C106" t="s">
        <v>407</v>
      </c>
      <c r="D106" s="2">
        <v>0.04</v>
      </c>
      <c r="E106" s="2">
        <v>0</v>
      </c>
      <c r="F106" s="2">
        <v>0</v>
      </c>
      <c r="G106" s="2">
        <v>0.16</v>
      </c>
      <c r="H106" s="2">
        <v>0.2</v>
      </c>
    </row>
    <row r="107" spans="1:8" x14ac:dyDescent="0.2">
      <c r="A107" t="s">
        <v>426</v>
      </c>
      <c r="B107" t="s">
        <v>427</v>
      </c>
      <c r="C107" t="s">
        <v>408</v>
      </c>
      <c r="D107" s="2">
        <v>0.04</v>
      </c>
      <c r="E107" s="2">
        <v>0</v>
      </c>
      <c r="F107" s="2">
        <v>0</v>
      </c>
      <c r="G107" s="2">
        <v>0.13</v>
      </c>
      <c r="H107" s="2">
        <v>0.17</v>
      </c>
    </row>
    <row r="108" spans="1:8" x14ac:dyDescent="0.2">
      <c r="A108" t="s">
        <v>426</v>
      </c>
      <c r="B108" t="s">
        <v>427</v>
      </c>
      <c r="C108" t="s">
        <v>409</v>
      </c>
      <c r="D108" s="2">
        <v>0.04</v>
      </c>
      <c r="E108" s="2">
        <v>0</v>
      </c>
      <c r="F108" s="2">
        <v>0</v>
      </c>
      <c r="G108" s="2">
        <v>0.15</v>
      </c>
      <c r="H108" s="2">
        <v>0.19</v>
      </c>
    </row>
    <row r="109" spans="1:8" x14ac:dyDescent="0.2">
      <c r="A109" t="s">
        <v>426</v>
      </c>
      <c r="B109" t="s">
        <v>427</v>
      </c>
      <c r="C109" t="s">
        <v>410</v>
      </c>
      <c r="D109" s="2">
        <v>0.04</v>
      </c>
      <c r="E109" s="2">
        <v>0</v>
      </c>
      <c r="F109" s="2">
        <v>0</v>
      </c>
      <c r="G109" s="2">
        <v>0.18</v>
      </c>
      <c r="H109" s="2">
        <v>0.22</v>
      </c>
    </row>
    <row r="110" spans="1:8" x14ac:dyDescent="0.2">
      <c r="A110" t="s">
        <v>426</v>
      </c>
      <c r="B110" t="s">
        <v>427</v>
      </c>
      <c r="C110" t="s">
        <v>411</v>
      </c>
      <c r="D110" s="2">
        <v>0.04</v>
      </c>
      <c r="E110" s="2">
        <v>0</v>
      </c>
      <c r="F110" s="2">
        <v>0</v>
      </c>
      <c r="G110" s="2">
        <v>0</v>
      </c>
      <c r="H110" s="2">
        <v>0.18</v>
      </c>
    </row>
    <row r="111" spans="1:8" x14ac:dyDescent="0.2">
      <c r="A111" t="s">
        <v>426</v>
      </c>
      <c r="B111" t="s">
        <v>427</v>
      </c>
      <c r="C111" t="s">
        <v>412</v>
      </c>
      <c r="D111" s="2">
        <v>0.04</v>
      </c>
      <c r="E111" s="2">
        <v>0</v>
      </c>
      <c r="F111" s="2">
        <v>0</v>
      </c>
      <c r="G111" s="2">
        <v>0.13</v>
      </c>
      <c r="H111" s="2">
        <v>0.17</v>
      </c>
    </row>
    <row r="112" spans="1:8" x14ac:dyDescent="0.2">
      <c r="A112" t="s">
        <v>426</v>
      </c>
      <c r="B112" t="s">
        <v>427</v>
      </c>
      <c r="C112" t="s">
        <v>413</v>
      </c>
      <c r="D112" s="2">
        <v>0.04</v>
      </c>
      <c r="E112" s="2">
        <v>0</v>
      </c>
      <c r="F112" s="2">
        <v>0</v>
      </c>
      <c r="G112" s="2">
        <v>0.13</v>
      </c>
      <c r="H112" s="2">
        <v>0.17</v>
      </c>
    </row>
    <row r="113" spans="1:8" x14ac:dyDescent="0.2">
      <c r="A113" t="s">
        <v>426</v>
      </c>
      <c r="B113" t="s">
        <v>427</v>
      </c>
      <c r="C113" t="s">
        <v>414</v>
      </c>
      <c r="D113" s="2">
        <v>0.04</v>
      </c>
      <c r="E113" s="2">
        <v>0</v>
      </c>
      <c r="F113" s="2">
        <v>0</v>
      </c>
      <c r="G113" s="2">
        <v>0.16</v>
      </c>
      <c r="H113" s="2">
        <v>0.2</v>
      </c>
    </row>
    <row r="114" spans="1:8" x14ac:dyDescent="0.2">
      <c r="A114" t="s">
        <v>426</v>
      </c>
      <c r="B114" t="s">
        <v>427</v>
      </c>
      <c r="C114" t="s">
        <v>415</v>
      </c>
      <c r="D114" s="2">
        <v>0.04</v>
      </c>
      <c r="E114" s="2">
        <v>0</v>
      </c>
      <c r="F114" s="2">
        <v>0</v>
      </c>
      <c r="G114" s="2">
        <v>0.17</v>
      </c>
      <c r="H114" s="2">
        <v>0.21</v>
      </c>
    </row>
    <row r="115" spans="1:8" x14ac:dyDescent="0.2">
      <c r="A115" t="s">
        <v>426</v>
      </c>
      <c r="B115" t="s">
        <v>427</v>
      </c>
      <c r="C115" t="s">
        <v>416</v>
      </c>
      <c r="D115" s="2">
        <v>0.04</v>
      </c>
      <c r="E115" s="2">
        <v>0</v>
      </c>
      <c r="F115" s="2">
        <v>0</v>
      </c>
      <c r="G115" s="2">
        <v>0.155</v>
      </c>
      <c r="H115" s="2">
        <v>0.19500000000000001</v>
      </c>
    </row>
    <row r="116" spans="1:8" x14ac:dyDescent="0.2">
      <c r="A116" t="s">
        <v>426</v>
      </c>
      <c r="B116" t="s">
        <v>427</v>
      </c>
      <c r="C116" t="s">
        <v>417</v>
      </c>
      <c r="D116" s="2">
        <v>0.04</v>
      </c>
      <c r="E116" s="2">
        <v>0</v>
      </c>
      <c r="F116" s="2">
        <v>0</v>
      </c>
      <c r="G116" s="2">
        <v>0.18</v>
      </c>
      <c r="H116" s="2">
        <v>0.22</v>
      </c>
    </row>
    <row r="117" spans="1:8" x14ac:dyDescent="0.2">
      <c r="A117" t="s">
        <v>426</v>
      </c>
      <c r="B117" t="s">
        <v>427</v>
      </c>
      <c r="C117" t="s">
        <v>418</v>
      </c>
      <c r="D117" s="2">
        <v>0.04</v>
      </c>
      <c r="E117" s="2">
        <v>0</v>
      </c>
      <c r="F117" s="2">
        <v>0</v>
      </c>
      <c r="G117" s="2">
        <v>0.14000000000000001</v>
      </c>
      <c r="H117" s="2">
        <v>0.18</v>
      </c>
    </row>
    <row r="118" spans="1:8" x14ac:dyDescent="0.2">
      <c r="A118" t="s">
        <v>426</v>
      </c>
      <c r="B118" t="s">
        <v>427</v>
      </c>
      <c r="C118" t="s">
        <v>419</v>
      </c>
      <c r="D118" s="2">
        <v>0.04</v>
      </c>
      <c r="E118" s="2">
        <v>0</v>
      </c>
      <c r="F118" s="2">
        <v>0</v>
      </c>
      <c r="G118" s="2">
        <v>0.13</v>
      </c>
      <c r="H118" s="2">
        <v>0.17</v>
      </c>
    </row>
    <row r="119" spans="1:8" x14ac:dyDescent="0.2">
      <c r="A119" t="s">
        <v>426</v>
      </c>
      <c r="B119" t="s">
        <v>427</v>
      </c>
      <c r="C119" t="s">
        <v>420</v>
      </c>
      <c r="D119" s="2">
        <v>0.04</v>
      </c>
      <c r="E119" s="2">
        <v>0</v>
      </c>
      <c r="F119" s="2">
        <v>0</v>
      </c>
      <c r="G119" s="2">
        <v>0.13</v>
      </c>
      <c r="H119" s="2">
        <v>0.17</v>
      </c>
    </row>
    <row r="120" spans="1:8" x14ac:dyDescent="0.2">
      <c r="A120" t="s">
        <v>426</v>
      </c>
      <c r="B120" t="s">
        <v>427</v>
      </c>
      <c r="C120" t="s">
        <v>421</v>
      </c>
      <c r="D120" s="2">
        <v>0.04</v>
      </c>
      <c r="E120" s="2">
        <v>0</v>
      </c>
      <c r="F120" s="2">
        <v>0</v>
      </c>
      <c r="G120" s="2">
        <v>0.14000000000000001</v>
      </c>
      <c r="H120" s="2">
        <v>0.18</v>
      </c>
    </row>
    <row r="121" spans="1:8" x14ac:dyDescent="0.2">
      <c r="A121" t="s">
        <v>426</v>
      </c>
      <c r="B121" t="s">
        <v>427</v>
      </c>
      <c r="C121" t="s">
        <v>422</v>
      </c>
      <c r="D121" s="2">
        <v>0.04</v>
      </c>
      <c r="E121" s="2">
        <v>0</v>
      </c>
      <c r="F121" s="2">
        <v>0</v>
      </c>
      <c r="G121" s="2">
        <v>0.16</v>
      </c>
      <c r="H121" s="2">
        <v>0.2</v>
      </c>
    </row>
    <row r="122" spans="1:8" x14ac:dyDescent="0.2">
      <c r="A122" t="s">
        <v>426</v>
      </c>
      <c r="B122" t="s">
        <v>427</v>
      </c>
      <c r="C122" t="s">
        <v>403</v>
      </c>
      <c r="D122" s="2">
        <v>7.0000000000000007E-2</v>
      </c>
      <c r="E122" s="2">
        <v>0</v>
      </c>
      <c r="F122" s="2">
        <v>0</v>
      </c>
      <c r="G122" s="2">
        <v>0.12</v>
      </c>
      <c r="H122" s="2">
        <v>0.19</v>
      </c>
    </row>
    <row r="123" spans="1:8" x14ac:dyDescent="0.2">
      <c r="A123" t="s">
        <v>426</v>
      </c>
      <c r="B123" t="s">
        <v>427</v>
      </c>
      <c r="C123" t="s">
        <v>404</v>
      </c>
      <c r="D123" s="2">
        <v>7.0000000000000007E-2</v>
      </c>
      <c r="E123" s="2">
        <v>0</v>
      </c>
      <c r="F123" s="2">
        <v>0</v>
      </c>
      <c r="G123" s="2">
        <v>0.13</v>
      </c>
      <c r="H123" s="2">
        <v>0.2</v>
      </c>
    </row>
    <row r="124" spans="1:8" x14ac:dyDescent="0.2">
      <c r="A124" t="s">
        <v>426</v>
      </c>
      <c r="B124" t="s">
        <v>427</v>
      </c>
      <c r="C124" t="s">
        <v>405</v>
      </c>
      <c r="D124" s="2">
        <v>7.0000000000000007E-2</v>
      </c>
      <c r="E124" s="2">
        <v>0</v>
      </c>
      <c r="F124" s="2">
        <v>0</v>
      </c>
      <c r="G124" s="2">
        <v>0.13499999999999998</v>
      </c>
      <c r="H124" s="2">
        <v>0.20499999999999999</v>
      </c>
    </row>
    <row r="125" spans="1:8" x14ac:dyDescent="0.2">
      <c r="A125" t="s">
        <v>426</v>
      </c>
      <c r="B125" t="s">
        <v>427</v>
      </c>
      <c r="C125" t="s">
        <v>406</v>
      </c>
      <c r="D125" s="2">
        <v>7.0000000000000007E-2</v>
      </c>
      <c r="E125" s="2">
        <v>0</v>
      </c>
      <c r="F125" s="2">
        <v>0</v>
      </c>
      <c r="G125" s="2">
        <v>0.13</v>
      </c>
      <c r="H125" s="2">
        <v>0.2</v>
      </c>
    </row>
    <row r="126" spans="1:8" x14ac:dyDescent="0.2">
      <c r="A126" t="s">
        <v>426</v>
      </c>
      <c r="B126" t="s">
        <v>427</v>
      </c>
      <c r="C126" t="s">
        <v>407</v>
      </c>
      <c r="D126" s="2">
        <v>7.0000000000000007E-2</v>
      </c>
      <c r="E126" s="2">
        <v>0</v>
      </c>
      <c r="F126" s="2">
        <v>0</v>
      </c>
      <c r="G126" s="2">
        <v>0.13</v>
      </c>
      <c r="H126" s="2">
        <v>0.2</v>
      </c>
    </row>
    <row r="127" spans="1:8" x14ac:dyDescent="0.2">
      <c r="A127" t="s">
        <v>426</v>
      </c>
      <c r="B127" t="s">
        <v>427</v>
      </c>
      <c r="C127" t="s">
        <v>408</v>
      </c>
      <c r="D127" s="2">
        <v>7.0000000000000007E-2</v>
      </c>
      <c r="E127" s="2">
        <v>0</v>
      </c>
      <c r="F127" s="2">
        <v>0</v>
      </c>
      <c r="G127" s="2">
        <v>0.1</v>
      </c>
      <c r="H127" s="2">
        <v>0.17</v>
      </c>
    </row>
    <row r="128" spans="1:8" x14ac:dyDescent="0.2">
      <c r="A128" t="s">
        <v>426</v>
      </c>
      <c r="B128" t="s">
        <v>427</v>
      </c>
      <c r="C128" t="s">
        <v>409</v>
      </c>
      <c r="D128" s="2">
        <v>7.0000000000000007E-2</v>
      </c>
      <c r="E128" s="2">
        <v>0</v>
      </c>
      <c r="F128" s="2">
        <v>0</v>
      </c>
      <c r="G128" s="2">
        <v>0.12</v>
      </c>
      <c r="H128" s="2">
        <v>0.19</v>
      </c>
    </row>
    <row r="129" spans="1:8" x14ac:dyDescent="0.2">
      <c r="A129" t="s">
        <v>426</v>
      </c>
      <c r="B129" t="s">
        <v>427</v>
      </c>
      <c r="C129" t="s">
        <v>410</v>
      </c>
      <c r="D129" s="2">
        <v>7.0000000000000007E-2</v>
      </c>
      <c r="E129" s="2">
        <v>0</v>
      </c>
      <c r="F129" s="2">
        <v>0</v>
      </c>
      <c r="G129" s="2">
        <v>0.15</v>
      </c>
      <c r="H129" s="2">
        <v>0.22</v>
      </c>
    </row>
    <row r="130" spans="1:8" x14ac:dyDescent="0.2">
      <c r="A130" t="s">
        <v>426</v>
      </c>
      <c r="B130" t="s">
        <v>427</v>
      </c>
      <c r="C130" t="s">
        <v>411</v>
      </c>
      <c r="D130" s="2">
        <v>0.18</v>
      </c>
      <c r="E130" s="2">
        <v>8.6499999999999994E-2</v>
      </c>
      <c r="F130" s="2">
        <v>0</v>
      </c>
      <c r="G130" s="2">
        <v>0</v>
      </c>
      <c r="H130" s="2">
        <v>0.18</v>
      </c>
    </row>
    <row r="131" spans="1:8" x14ac:dyDescent="0.2">
      <c r="A131" t="s">
        <v>426</v>
      </c>
      <c r="B131" t="s">
        <v>427</v>
      </c>
      <c r="C131" t="s">
        <v>412</v>
      </c>
      <c r="D131" s="2">
        <v>7.0000000000000007E-2</v>
      </c>
      <c r="E131" s="2">
        <v>0</v>
      </c>
      <c r="F131" s="2">
        <v>0</v>
      </c>
      <c r="G131" s="2">
        <v>0.1</v>
      </c>
      <c r="H131" s="2">
        <v>0.17</v>
      </c>
    </row>
    <row r="132" spans="1:8" x14ac:dyDescent="0.2">
      <c r="A132" t="s">
        <v>426</v>
      </c>
      <c r="B132" t="s">
        <v>427</v>
      </c>
      <c r="C132" t="s">
        <v>413</v>
      </c>
      <c r="D132" s="2">
        <v>7.0000000000000007E-2</v>
      </c>
      <c r="E132" s="2">
        <v>0.20069999999999999</v>
      </c>
      <c r="F132" s="2">
        <v>0.1205</v>
      </c>
      <c r="G132" s="2">
        <v>0.1</v>
      </c>
      <c r="H132" s="2">
        <v>0.17</v>
      </c>
    </row>
    <row r="133" spans="1:8" x14ac:dyDescent="0.2">
      <c r="A133" t="s">
        <v>426</v>
      </c>
      <c r="B133" t="s">
        <v>427</v>
      </c>
      <c r="C133" t="s">
        <v>414</v>
      </c>
      <c r="D133" s="2">
        <v>7.0000000000000007E-2</v>
      </c>
      <c r="E133" s="2">
        <v>0</v>
      </c>
      <c r="F133" s="2">
        <v>0</v>
      </c>
      <c r="G133" s="2">
        <v>0.13</v>
      </c>
      <c r="H133" s="2">
        <v>0.2</v>
      </c>
    </row>
    <row r="134" spans="1:8" x14ac:dyDescent="0.2">
      <c r="A134" t="s">
        <v>426</v>
      </c>
      <c r="B134" t="s">
        <v>427</v>
      </c>
      <c r="C134" t="s">
        <v>415</v>
      </c>
      <c r="D134" s="2">
        <v>7.0000000000000007E-2</v>
      </c>
      <c r="E134" s="2">
        <v>0</v>
      </c>
      <c r="F134" s="2">
        <v>0</v>
      </c>
      <c r="G134" s="2">
        <v>0.13999999999999999</v>
      </c>
      <c r="H134" s="2">
        <v>0.21</v>
      </c>
    </row>
    <row r="135" spans="1:8" x14ac:dyDescent="0.2">
      <c r="A135" t="s">
        <v>426</v>
      </c>
      <c r="B135" t="s">
        <v>427</v>
      </c>
      <c r="C135" t="s">
        <v>416</v>
      </c>
      <c r="D135" s="2">
        <v>0.12</v>
      </c>
      <c r="E135" s="2">
        <v>0</v>
      </c>
      <c r="F135" s="2">
        <v>0</v>
      </c>
      <c r="G135" s="2">
        <v>7.5000000000000011E-2</v>
      </c>
      <c r="H135" s="2">
        <v>0.19500000000000001</v>
      </c>
    </row>
    <row r="136" spans="1:8" x14ac:dyDescent="0.2">
      <c r="A136" t="s">
        <v>426</v>
      </c>
      <c r="B136" t="s">
        <v>427</v>
      </c>
      <c r="C136" t="s">
        <v>417</v>
      </c>
      <c r="D136" s="2">
        <v>0.12</v>
      </c>
      <c r="E136" s="2">
        <v>0.21529999999999999</v>
      </c>
      <c r="F136" s="2">
        <v>0.12820000000000001</v>
      </c>
      <c r="G136" s="2">
        <v>0.1</v>
      </c>
      <c r="H136" s="2">
        <v>0.22</v>
      </c>
    </row>
    <row r="137" spans="1:8" x14ac:dyDescent="0.2">
      <c r="A137" t="s">
        <v>426</v>
      </c>
      <c r="B137" t="s">
        <v>427</v>
      </c>
      <c r="C137" t="s">
        <v>418</v>
      </c>
      <c r="D137" s="2">
        <v>7.0000000000000007E-2</v>
      </c>
      <c r="E137" s="2">
        <v>0</v>
      </c>
      <c r="F137" s="2">
        <v>0</v>
      </c>
      <c r="G137" s="2">
        <v>0.10999999999999999</v>
      </c>
      <c r="H137" s="2">
        <v>0.18</v>
      </c>
    </row>
    <row r="138" spans="1:8" x14ac:dyDescent="0.2">
      <c r="A138" t="s">
        <v>426</v>
      </c>
      <c r="B138" t="s">
        <v>427</v>
      </c>
      <c r="C138" t="s">
        <v>419</v>
      </c>
      <c r="D138" s="2">
        <v>0.12</v>
      </c>
      <c r="E138" s="2">
        <v>0</v>
      </c>
      <c r="F138" s="2">
        <v>0</v>
      </c>
      <c r="G138" s="2">
        <v>5.0000000000000017E-2</v>
      </c>
      <c r="H138" s="2">
        <v>0.17</v>
      </c>
    </row>
    <row r="139" spans="1:8" x14ac:dyDescent="0.2">
      <c r="A139" t="s">
        <v>426</v>
      </c>
      <c r="B139" t="s">
        <v>427</v>
      </c>
      <c r="C139" t="s">
        <v>420</v>
      </c>
      <c r="D139" s="2">
        <v>0.12</v>
      </c>
      <c r="E139" s="2">
        <v>0</v>
      </c>
      <c r="F139" s="2">
        <v>0</v>
      </c>
      <c r="G139" s="2">
        <v>5.0000000000000017E-2</v>
      </c>
      <c r="H139" s="2">
        <v>0.17</v>
      </c>
    </row>
    <row r="140" spans="1:8" x14ac:dyDescent="0.2">
      <c r="A140" t="s">
        <v>426</v>
      </c>
      <c r="B140" t="s">
        <v>427</v>
      </c>
      <c r="C140" t="s">
        <v>421</v>
      </c>
      <c r="D140" s="2">
        <v>0.12</v>
      </c>
      <c r="E140" s="2">
        <v>0.1371</v>
      </c>
      <c r="F140" s="2">
        <v>7.3200000000000001E-2</v>
      </c>
      <c r="G140" s="2">
        <v>0.06</v>
      </c>
      <c r="H140" s="2">
        <v>0.18</v>
      </c>
    </row>
    <row r="141" spans="1:8" x14ac:dyDescent="0.2">
      <c r="A141" t="s">
        <v>426</v>
      </c>
      <c r="B141" t="s">
        <v>427</v>
      </c>
      <c r="C141" t="s">
        <v>422</v>
      </c>
      <c r="D141" s="2">
        <v>7.0000000000000007E-2</v>
      </c>
      <c r="E141" s="2">
        <v>0</v>
      </c>
      <c r="F141" s="2">
        <v>0</v>
      </c>
      <c r="G141" s="2">
        <v>0.13</v>
      </c>
      <c r="H141" s="2">
        <v>0.2</v>
      </c>
    </row>
    <row r="142" spans="1:8" x14ac:dyDescent="0.2">
      <c r="A142" t="s">
        <v>428</v>
      </c>
      <c r="B142" t="s">
        <v>429</v>
      </c>
      <c r="C142" t="s">
        <v>403</v>
      </c>
      <c r="D142" s="2">
        <v>7.0000000000000007E-2</v>
      </c>
      <c r="E142" s="2">
        <v>0</v>
      </c>
      <c r="F142" s="2">
        <v>0</v>
      </c>
      <c r="G142" s="2">
        <v>0.12</v>
      </c>
      <c r="H142" s="2">
        <v>0.19</v>
      </c>
    </row>
    <row r="143" spans="1:8" x14ac:dyDescent="0.2">
      <c r="A143" t="s">
        <v>428</v>
      </c>
      <c r="B143" t="s">
        <v>429</v>
      </c>
      <c r="C143" t="s">
        <v>404</v>
      </c>
      <c r="D143" s="2">
        <v>7.0000000000000007E-2</v>
      </c>
      <c r="E143" s="2">
        <v>0</v>
      </c>
      <c r="F143" s="2">
        <v>0</v>
      </c>
      <c r="G143" s="2">
        <v>0.13</v>
      </c>
      <c r="H143" s="2">
        <v>0.2</v>
      </c>
    </row>
    <row r="144" spans="1:8" x14ac:dyDescent="0.2">
      <c r="A144" t="s">
        <v>428</v>
      </c>
      <c r="B144" t="s">
        <v>429</v>
      </c>
      <c r="C144" t="s">
        <v>405</v>
      </c>
      <c r="D144" s="2">
        <v>7.0000000000000007E-2</v>
      </c>
      <c r="E144" s="2">
        <v>0</v>
      </c>
      <c r="F144" s="2">
        <v>0</v>
      </c>
      <c r="G144" s="2">
        <v>0.13500000000000001</v>
      </c>
      <c r="H144" s="2">
        <v>0.20499999999999999</v>
      </c>
    </row>
    <row r="145" spans="1:8" x14ac:dyDescent="0.2">
      <c r="A145" t="s">
        <v>428</v>
      </c>
      <c r="B145" t="s">
        <v>429</v>
      </c>
      <c r="C145" t="s">
        <v>406</v>
      </c>
      <c r="D145" s="2">
        <v>7.0000000000000007E-2</v>
      </c>
      <c r="E145" s="2">
        <v>0</v>
      </c>
      <c r="F145" s="2">
        <v>0</v>
      </c>
      <c r="G145" s="2">
        <v>0.13</v>
      </c>
      <c r="H145" s="2">
        <v>0.2</v>
      </c>
    </row>
    <row r="146" spans="1:8" x14ac:dyDescent="0.2">
      <c r="A146" t="s">
        <v>428</v>
      </c>
      <c r="B146" t="s">
        <v>429</v>
      </c>
      <c r="C146" t="s">
        <v>407</v>
      </c>
      <c r="D146" s="2">
        <v>7.0000000000000007E-2</v>
      </c>
      <c r="E146" s="2">
        <v>0</v>
      </c>
      <c r="F146" s="2">
        <v>0</v>
      </c>
      <c r="G146" s="2">
        <v>0.13</v>
      </c>
      <c r="H146" s="2">
        <v>0.2</v>
      </c>
    </row>
    <row r="147" spans="1:8" x14ac:dyDescent="0.2">
      <c r="A147" t="s">
        <v>428</v>
      </c>
      <c r="B147" t="s">
        <v>429</v>
      </c>
      <c r="C147" t="s">
        <v>408</v>
      </c>
      <c r="D147" s="2">
        <v>7.0000000000000007E-2</v>
      </c>
      <c r="E147" s="2">
        <v>0</v>
      </c>
      <c r="F147" s="2">
        <v>0</v>
      </c>
      <c r="G147" s="2">
        <v>0.1</v>
      </c>
      <c r="H147" s="2">
        <v>0.17</v>
      </c>
    </row>
    <row r="148" spans="1:8" x14ac:dyDescent="0.2">
      <c r="A148" t="s">
        <v>428</v>
      </c>
      <c r="B148" t="s">
        <v>429</v>
      </c>
      <c r="C148" t="s">
        <v>409</v>
      </c>
      <c r="D148" s="2">
        <v>7.0000000000000007E-2</v>
      </c>
      <c r="E148" s="2">
        <v>0</v>
      </c>
      <c r="F148" s="2">
        <v>0</v>
      </c>
      <c r="G148" s="2">
        <v>0.12</v>
      </c>
      <c r="H148" s="2">
        <v>0.19</v>
      </c>
    </row>
    <row r="149" spans="1:8" x14ac:dyDescent="0.2">
      <c r="A149" t="s">
        <v>428</v>
      </c>
      <c r="B149" t="s">
        <v>429</v>
      </c>
      <c r="C149" t="s">
        <v>410</v>
      </c>
      <c r="D149" s="2">
        <v>7.0000000000000007E-2</v>
      </c>
      <c r="E149" s="2">
        <v>0</v>
      </c>
      <c r="F149" s="2">
        <v>0</v>
      </c>
      <c r="G149" s="2">
        <v>0.15</v>
      </c>
      <c r="H149" s="2">
        <v>0.22</v>
      </c>
    </row>
    <row r="150" spans="1:8" x14ac:dyDescent="0.2">
      <c r="A150" t="s">
        <v>428</v>
      </c>
      <c r="B150" t="s">
        <v>429</v>
      </c>
      <c r="C150" t="s">
        <v>411</v>
      </c>
      <c r="D150" s="2">
        <v>0.18</v>
      </c>
      <c r="E150" s="2">
        <v>3.3700000000000001E-2</v>
      </c>
      <c r="F150" s="2">
        <v>0</v>
      </c>
      <c r="G150" s="2">
        <v>0</v>
      </c>
      <c r="H150" s="2">
        <v>0.18</v>
      </c>
    </row>
    <row r="151" spans="1:8" x14ac:dyDescent="0.2">
      <c r="A151" t="s">
        <v>428</v>
      </c>
      <c r="B151" t="s">
        <v>429</v>
      </c>
      <c r="C151" t="s">
        <v>412</v>
      </c>
      <c r="D151" s="2">
        <v>7.0000000000000007E-2</v>
      </c>
      <c r="E151" s="2">
        <v>0</v>
      </c>
      <c r="F151" s="2">
        <v>0</v>
      </c>
      <c r="G151" s="2">
        <v>0.1</v>
      </c>
      <c r="H151" s="2">
        <v>0.17</v>
      </c>
    </row>
    <row r="152" spans="1:8" x14ac:dyDescent="0.2">
      <c r="A152" t="s">
        <v>428</v>
      </c>
      <c r="B152" t="s">
        <v>429</v>
      </c>
      <c r="C152" t="s">
        <v>413</v>
      </c>
      <c r="D152" s="2">
        <v>7.0000000000000007E-2</v>
      </c>
      <c r="E152" s="2">
        <v>0.20069999999999999</v>
      </c>
      <c r="F152" s="2">
        <v>0.1205</v>
      </c>
      <c r="G152" s="2">
        <v>0.1</v>
      </c>
      <c r="H152" s="2">
        <v>0.17</v>
      </c>
    </row>
    <row r="153" spans="1:8" x14ac:dyDescent="0.2">
      <c r="A153" t="s">
        <v>428</v>
      </c>
      <c r="B153" t="s">
        <v>429</v>
      </c>
      <c r="C153" t="s">
        <v>414</v>
      </c>
      <c r="D153" s="2">
        <v>7.0000000000000007E-2</v>
      </c>
      <c r="E153" s="2">
        <v>0</v>
      </c>
      <c r="F153" s="2">
        <v>0</v>
      </c>
      <c r="G153" s="2">
        <v>0.13</v>
      </c>
      <c r="H153" s="2">
        <v>0.2</v>
      </c>
    </row>
    <row r="154" spans="1:8" x14ac:dyDescent="0.2">
      <c r="A154" t="s">
        <v>428</v>
      </c>
      <c r="B154" t="s">
        <v>429</v>
      </c>
      <c r="C154" t="s">
        <v>415</v>
      </c>
      <c r="D154" s="2">
        <v>7.0000000000000007E-2</v>
      </c>
      <c r="E154" s="2">
        <v>0</v>
      </c>
      <c r="F154" s="2">
        <v>0</v>
      </c>
      <c r="G154" s="2">
        <v>0.13999999999999999</v>
      </c>
      <c r="H154" s="2">
        <v>0.21</v>
      </c>
    </row>
    <row r="155" spans="1:8" x14ac:dyDescent="0.2">
      <c r="A155" t="s">
        <v>428</v>
      </c>
      <c r="B155" t="s">
        <v>429</v>
      </c>
      <c r="C155" t="s">
        <v>416</v>
      </c>
      <c r="D155" s="2">
        <v>0.12</v>
      </c>
      <c r="E155" s="2">
        <v>0</v>
      </c>
      <c r="F155" s="2">
        <v>0</v>
      </c>
      <c r="G155" s="2">
        <v>7.4999999999999997E-2</v>
      </c>
      <c r="H155" s="2">
        <v>0.19500000000000001</v>
      </c>
    </row>
    <row r="156" spans="1:8" x14ac:dyDescent="0.2">
      <c r="A156" t="s">
        <v>428</v>
      </c>
      <c r="B156" t="s">
        <v>429</v>
      </c>
      <c r="C156" t="s">
        <v>417</v>
      </c>
      <c r="D156" s="2">
        <v>0.12</v>
      </c>
      <c r="E156" s="2">
        <v>0.21529999999999999</v>
      </c>
      <c r="F156" s="2">
        <v>0.12820000000000001</v>
      </c>
      <c r="G156" s="2">
        <v>0.1</v>
      </c>
      <c r="H156" s="2">
        <v>0.22</v>
      </c>
    </row>
    <row r="157" spans="1:8" x14ac:dyDescent="0.2">
      <c r="A157" t="s">
        <v>428</v>
      </c>
      <c r="B157" t="s">
        <v>429</v>
      </c>
      <c r="C157" t="s">
        <v>418</v>
      </c>
      <c r="D157" s="2">
        <v>7.0000000000000007E-2</v>
      </c>
      <c r="E157" s="2">
        <v>0</v>
      </c>
      <c r="F157" s="2">
        <v>0</v>
      </c>
      <c r="G157" s="2">
        <v>0.10999999999999999</v>
      </c>
      <c r="H157" s="2">
        <v>0.18</v>
      </c>
    </row>
    <row r="158" spans="1:8" x14ac:dyDescent="0.2">
      <c r="A158" t="s">
        <v>428</v>
      </c>
      <c r="B158" t="s">
        <v>429</v>
      </c>
      <c r="C158" t="s">
        <v>419</v>
      </c>
      <c r="D158" s="2">
        <v>0.12</v>
      </c>
      <c r="E158" s="2">
        <v>0</v>
      </c>
      <c r="F158" s="2">
        <v>0</v>
      </c>
      <c r="G158" s="2">
        <v>5.0000000000000017E-2</v>
      </c>
      <c r="H158" s="2">
        <v>0.17</v>
      </c>
    </row>
    <row r="159" spans="1:8" x14ac:dyDescent="0.2">
      <c r="A159" t="s">
        <v>428</v>
      </c>
      <c r="B159" t="s">
        <v>429</v>
      </c>
      <c r="C159" t="s">
        <v>420</v>
      </c>
      <c r="D159" s="2">
        <v>0.12</v>
      </c>
      <c r="E159" s="2">
        <v>0</v>
      </c>
      <c r="F159" s="2">
        <v>0</v>
      </c>
      <c r="G159" s="2">
        <v>5.0000000000000017E-2</v>
      </c>
      <c r="H159" s="2">
        <v>0.17</v>
      </c>
    </row>
    <row r="160" spans="1:8" x14ac:dyDescent="0.2">
      <c r="A160" t="s">
        <v>428</v>
      </c>
      <c r="B160" t="s">
        <v>429</v>
      </c>
      <c r="C160" t="s">
        <v>421</v>
      </c>
      <c r="D160" s="2">
        <v>0.12</v>
      </c>
      <c r="E160" s="2">
        <v>0.1371</v>
      </c>
      <c r="F160" s="2">
        <v>7.3200000000000001E-2</v>
      </c>
      <c r="G160" s="2">
        <v>0.06</v>
      </c>
      <c r="H160" s="2">
        <v>0.18</v>
      </c>
    </row>
    <row r="161" spans="1:8" x14ac:dyDescent="0.2">
      <c r="A161" t="s">
        <v>428</v>
      </c>
      <c r="B161" t="s">
        <v>429</v>
      </c>
      <c r="C161" t="s">
        <v>422</v>
      </c>
      <c r="D161" s="2">
        <v>7.0000000000000007E-2</v>
      </c>
      <c r="E161" s="2">
        <v>0</v>
      </c>
      <c r="F161" s="2">
        <v>0</v>
      </c>
      <c r="G161" s="2">
        <v>0.13</v>
      </c>
      <c r="H161" s="2">
        <v>0.2</v>
      </c>
    </row>
    <row r="162" spans="1:8" x14ac:dyDescent="0.2">
      <c r="A162" t="s">
        <v>430</v>
      </c>
      <c r="B162" t="s">
        <v>431</v>
      </c>
      <c r="C162" t="s">
        <v>403</v>
      </c>
      <c r="D162" s="2">
        <v>7.0000000000000007E-2</v>
      </c>
      <c r="E162" s="2">
        <v>0</v>
      </c>
      <c r="F162" s="2">
        <v>0</v>
      </c>
      <c r="G162" s="2">
        <v>0.12</v>
      </c>
      <c r="H162" s="2">
        <v>0.19</v>
      </c>
    </row>
    <row r="163" spans="1:8" x14ac:dyDescent="0.2">
      <c r="A163" t="s">
        <v>430</v>
      </c>
      <c r="B163" t="s">
        <v>431</v>
      </c>
      <c r="C163" t="s">
        <v>404</v>
      </c>
      <c r="D163" s="2">
        <v>7.0000000000000007E-2</v>
      </c>
      <c r="E163" s="2">
        <v>0</v>
      </c>
      <c r="F163" s="2">
        <v>0</v>
      </c>
      <c r="G163" s="2">
        <v>0.13</v>
      </c>
      <c r="H163" s="2">
        <v>0.2</v>
      </c>
    </row>
    <row r="164" spans="1:8" x14ac:dyDescent="0.2">
      <c r="A164" t="s">
        <v>430</v>
      </c>
      <c r="B164" t="s">
        <v>431</v>
      </c>
      <c r="C164" t="s">
        <v>405</v>
      </c>
      <c r="D164" s="2">
        <v>7.0000000000000007E-2</v>
      </c>
      <c r="E164" s="2">
        <v>0</v>
      </c>
      <c r="F164" s="2">
        <v>0</v>
      </c>
      <c r="G164" s="2">
        <v>0.13500000000000001</v>
      </c>
      <c r="H164" s="2">
        <v>0.20499999999999999</v>
      </c>
    </row>
    <row r="165" spans="1:8" x14ac:dyDescent="0.2">
      <c r="A165" t="s">
        <v>430</v>
      </c>
      <c r="B165" t="s">
        <v>431</v>
      </c>
      <c r="C165" t="s">
        <v>406</v>
      </c>
      <c r="D165" s="2">
        <v>7.0000000000000007E-2</v>
      </c>
      <c r="E165" s="2">
        <v>0</v>
      </c>
      <c r="F165" s="2">
        <v>0</v>
      </c>
      <c r="G165" s="2">
        <v>0.13</v>
      </c>
      <c r="H165" s="2">
        <v>0.2</v>
      </c>
    </row>
    <row r="166" spans="1:8" x14ac:dyDescent="0.2">
      <c r="A166" t="s">
        <v>430</v>
      </c>
      <c r="B166" t="s">
        <v>431</v>
      </c>
      <c r="C166" t="s">
        <v>407</v>
      </c>
      <c r="D166" s="2">
        <v>7.0000000000000007E-2</v>
      </c>
      <c r="E166" s="2">
        <v>0</v>
      </c>
      <c r="F166" s="2">
        <v>0</v>
      </c>
      <c r="G166" s="2">
        <v>0.13</v>
      </c>
      <c r="H166" s="2">
        <v>0.2</v>
      </c>
    </row>
    <row r="167" spans="1:8" x14ac:dyDescent="0.2">
      <c r="A167" t="s">
        <v>430</v>
      </c>
      <c r="B167" t="s">
        <v>431</v>
      </c>
      <c r="C167" t="s">
        <v>408</v>
      </c>
      <c r="D167" s="2">
        <v>7.0000000000000007E-2</v>
      </c>
      <c r="E167" s="2">
        <v>0</v>
      </c>
      <c r="F167" s="2">
        <v>0</v>
      </c>
      <c r="G167" s="2">
        <v>0.1</v>
      </c>
      <c r="H167" s="2">
        <v>0.17</v>
      </c>
    </row>
    <row r="168" spans="1:8" x14ac:dyDescent="0.2">
      <c r="A168" t="s">
        <v>430</v>
      </c>
      <c r="B168" t="s">
        <v>431</v>
      </c>
      <c r="C168" t="s">
        <v>409</v>
      </c>
      <c r="D168" s="2">
        <v>7.0000000000000007E-2</v>
      </c>
      <c r="E168" s="2">
        <v>0</v>
      </c>
      <c r="F168" s="2">
        <v>0</v>
      </c>
      <c r="G168" s="2">
        <v>0.12</v>
      </c>
      <c r="H168" s="2">
        <v>0.19</v>
      </c>
    </row>
    <row r="169" spans="1:8" x14ac:dyDescent="0.2">
      <c r="A169" t="s">
        <v>430</v>
      </c>
      <c r="B169" t="s">
        <v>431</v>
      </c>
      <c r="C169" t="s">
        <v>410</v>
      </c>
      <c r="D169" s="2">
        <v>7.0000000000000007E-2</v>
      </c>
      <c r="E169" s="2">
        <v>0</v>
      </c>
      <c r="F169" s="2">
        <v>0</v>
      </c>
      <c r="G169" s="2">
        <v>0.15</v>
      </c>
      <c r="H169" s="2">
        <v>0.22</v>
      </c>
    </row>
    <row r="170" spans="1:8" x14ac:dyDescent="0.2">
      <c r="A170" t="s">
        <v>430</v>
      </c>
      <c r="B170" t="s">
        <v>431</v>
      </c>
      <c r="C170" t="s">
        <v>411</v>
      </c>
      <c r="D170" s="2">
        <v>0.18</v>
      </c>
      <c r="E170" s="2">
        <v>5.1200000000000002E-2</v>
      </c>
      <c r="F170" s="2">
        <v>0</v>
      </c>
      <c r="G170" s="2">
        <v>0</v>
      </c>
      <c r="H170" s="2">
        <v>0.18</v>
      </c>
    </row>
    <row r="171" spans="1:8" x14ac:dyDescent="0.2">
      <c r="A171" t="s">
        <v>430</v>
      </c>
      <c r="B171" t="s">
        <v>431</v>
      </c>
      <c r="C171" t="s">
        <v>412</v>
      </c>
      <c r="D171" s="2">
        <v>7.0000000000000007E-2</v>
      </c>
      <c r="E171" s="2">
        <v>0</v>
      </c>
      <c r="F171" s="2">
        <v>0</v>
      </c>
      <c r="G171" s="2">
        <v>0.1</v>
      </c>
      <c r="H171" s="2">
        <v>0.17</v>
      </c>
    </row>
    <row r="172" spans="1:8" x14ac:dyDescent="0.2">
      <c r="A172" t="s">
        <v>430</v>
      </c>
      <c r="B172" t="s">
        <v>431</v>
      </c>
      <c r="C172" t="s">
        <v>413</v>
      </c>
      <c r="D172" s="2">
        <v>7.0000000000000007E-2</v>
      </c>
      <c r="E172" s="2">
        <v>0</v>
      </c>
      <c r="F172" s="2">
        <v>0</v>
      </c>
      <c r="G172" s="2">
        <v>0.1</v>
      </c>
      <c r="H172" s="2">
        <v>0.17</v>
      </c>
    </row>
    <row r="173" spans="1:8" x14ac:dyDescent="0.2">
      <c r="A173" t="s">
        <v>430</v>
      </c>
      <c r="B173" t="s">
        <v>431</v>
      </c>
      <c r="C173" t="s">
        <v>414</v>
      </c>
      <c r="D173" s="2">
        <v>7.0000000000000007E-2</v>
      </c>
      <c r="E173" s="2">
        <v>0</v>
      </c>
      <c r="F173" s="2">
        <v>0</v>
      </c>
      <c r="G173" s="2">
        <v>0.13</v>
      </c>
      <c r="H173" s="2">
        <v>0.2</v>
      </c>
    </row>
    <row r="174" spans="1:8" x14ac:dyDescent="0.2">
      <c r="A174" t="s">
        <v>430</v>
      </c>
      <c r="B174" t="s">
        <v>431</v>
      </c>
      <c r="C174" t="s">
        <v>415</v>
      </c>
      <c r="D174" s="2">
        <v>7.0000000000000007E-2</v>
      </c>
      <c r="E174" s="2">
        <v>0</v>
      </c>
      <c r="F174" s="2">
        <v>0</v>
      </c>
      <c r="G174" s="2">
        <v>0.13999999999999999</v>
      </c>
      <c r="H174" s="2">
        <v>0.21</v>
      </c>
    </row>
    <row r="175" spans="1:8" x14ac:dyDescent="0.2">
      <c r="A175" t="s">
        <v>430</v>
      </c>
      <c r="B175" t="s">
        <v>431</v>
      </c>
      <c r="C175" t="s">
        <v>416</v>
      </c>
      <c r="D175" s="2">
        <v>0.12</v>
      </c>
      <c r="E175" s="2">
        <v>0</v>
      </c>
      <c r="F175" s="2">
        <v>0</v>
      </c>
      <c r="G175" s="2">
        <v>7.4999999999999997E-2</v>
      </c>
      <c r="H175" s="2">
        <v>0.19500000000000001</v>
      </c>
    </row>
    <row r="176" spans="1:8" x14ac:dyDescent="0.2">
      <c r="A176" t="s">
        <v>430</v>
      </c>
      <c r="B176" t="s">
        <v>431</v>
      </c>
      <c r="C176" t="s">
        <v>417</v>
      </c>
      <c r="D176" s="2">
        <v>0.12</v>
      </c>
      <c r="E176" s="2">
        <v>0.28839999999999999</v>
      </c>
      <c r="F176" s="2">
        <v>0.12820000000000001</v>
      </c>
      <c r="G176" s="2">
        <v>0.1</v>
      </c>
      <c r="H176" s="2">
        <v>0.22</v>
      </c>
    </row>
    <row r="177" spans="1:8" x14ac:dyDescent="0.2">
      <c r="A177" t="s">
        <v>430</v>
      </c>
      <c r="B177" t="s">
        <v>431</v>
      </c>
      <c r="C177" t="s">
        <v>418</v>
      </c>
      <c r="D177" s="2">
        <v>7.0000000000000007E-2</v>
      </c>
      <c r="E177" s="2">
        <v>0</v>
      </c>
      <c r="F177" s="2">
        <v>0</v>
      </c>
      <c r="G177" s="2">
        <v>0.10999999999999999</v>
      </c>
      <c r="H177" s="2">
        <v>0.18</v>
      </c>
    </row>
    <row r="178" spans="1:8" x14ac:dyDescent="0.2">
      <c r="A178" t="s">
        <v>430</v>
      </c>
      <c r="B178" t="s">
        <v>431</v>
      </c>
      <c r="C178" t="s">
        <v>419</v>
      </c>
      <c r="D178" s="2">
        <v>0.12</v>
      </c>
      <c r="E178" s="2">
        <v>0</v>
      </c>
      <c r="F178" s="2">
        <v>0</v>
      </c>
      <c r="G178" s="2">
        <v>5.0000000000000017E-2</v>
      </c>
      <c r="H178" s="2">
        <v>0.17</v>
      </c>
    </row>
    <row r="179" spans="1:8" x14ac:dyDescent="0.2">
      <c r="A179" t="s">
        <v>430</v>
      </c>
      <c r="B179" t="s">
        <v>431</v>
      </c>
      <c r="C179" t="s">
        <v>420</v>
      </c>
      <c r="D179" s="2">
        <v>0.12</v>
      </c>
      <c r="E179" s="2">
        <v>0</v>
      </c>
      <c r="F179" s="2">
        <v>0</v>
      </c>
      <c r="G179" s="2">
        <v>5.0000000000000017E-2</v>
      </c>
      <c r="H179" s="2">
        <v>0.17</v>
      </c>
    </row>
    <row r="180" spans="1:8" x14ac:dyDescent="0.2">
      <c r="A180" t="s">
        <v>430</v>
      </c>
      <c r="B180" t="s">
        <v>431</v>
      </c>
      <c r="C180" t="s">
        <v>421</v>
      </c>
      <c r="D180" s="2">
        <v>0.12</v>
      </c>
      <c r="E180" s="2">
        <v>0.29360000000000003</v>
      </c>
      <c r="F180" s="2">
        <v>7.3200000000000001E-2</v>
      </c>
      <c r="G180" s="2">
        <v>0.06</v>
      </c>
      <c r="H180" s="2">
        <v>0.18</v>
      </c>
    </row>
    <row r="181" spans="1:8" x14ac:dyDescent="0.2">
      <c r="A181" t="s">
        <v>430</v>
      </c>
      <c r="B181" t="s">
        <v>431</v>
      </c>
      <c r="C181" t="s">
        <v>422</v>
      </c>
      <c r="D181" s="2">
        <v>7.0000000000000007E-2</v>
      </c>
      <c r="E181" s="2">
        <v>0</v>
      </c>
      <c r="F181" s="2">
        <v>0</v>
      </c>
      <c r="G181" s="2">
        <v>0.13</v>
      </c>
      <c r="H181" s="2">
        <v>0.2</v>
      </c>
    </row>
    <row r="182" spans="1:8" x14ac:dyDescent="0.2">
      <c r="A182" t="s">
        <v>432</v>
      </c>
      <c r="B182" t="s">
        <v>429</v>
      </c>
      <c r="C182" t="s">
        <v>403</v>
      </c>
      <c r="D182" s="2">
        <v>0.04</v>
      </c>
      <c r="E182" s="2">
        <v>0</v>
      </c>
      <c r="F182" s="2">
        <v>0</v>
      </c>
      <c r="G182" s="2">
        <v>0.15</v>
      </c>
      <c r="H182" s="2">
        <v>0.19</v>
      </c>
    </row>
    <row r="183" spans="1:8" x14ac:dyDescent="0.2">
      <c r="A183" t="s">
        <v>432</v>
      </c>
      <c r="B183" t="s">
        <v>429</v>
      </c>
      <c r="C183" t="s">
        <v>404</v>
      </c>
      <c r="D183" s="2">
        <v>0.04</v>
      </c>
      <c r="E183" s="2">
        <v>0</v>
      </c>
      <c r="F183" s="2">
        <v>0</v>
      </c>
      <c r="G183" s="2">
        <v>0.16</v>
      </c>
      <c r="H183" s="2">
        <v>0.2</v>
      </c>
    </row>
    <row r="184" spans="1:8" x14ac:dyDescent="0.2">
      <c r="A184" t="s">
        <v>432</v>
      </c>
      <c r="B184" t="s">
        <v>429</v>
      </c>
      <c r="C184" t="s">
        <v>405</v>
      </c>
      <c r="D184" s="2">
        <v>0.04</v>
      </c>
      <c r="E184" s="2">
        <v>0</v>
      </c>
      <c r="F184" s="2">
        <v>0</v>
      </c>
      <c r="G184" s="2">
        <v>0.16500000000000001</v>
      </c>
      <c r="H184" s="2">
        <v>0.20499999999999999</v>
      </c>
    </row>
    <row r="185" spans="1:8" x14ac:dyDescent="0.2">
      <c r="A185" t="s">
        <v>432</v>
      </c>
      <c r="B185" t="s">
        <v>429</v>
      </c>
      <c r="C185" t="s">
        <v>406</v>
      </c>
      <c r="D185" s="2">
        <v>0.04</v>
      </c>
      <c r="E185" s="2">
        <v>0</v>
      </c>
      <c r="F185" s="2">
        <v>0</v>
      </c>
      <c r="G185" s="2">
        <v>0.16</v>
      </c>
      <c r="H185" s="2">
        <v>0.2</v>
      </c>
    </row>
    <row r="186" spans="1:8" x14ac:dyDescent="0.2">
      <c r="A186" t="s">
        <v>432</v>
      </c>
      <c r="B186" t="s">
        <v>429</v>
      </c>
      <c r="C186" t="s">
        <v>407</v>
      </c>
      <c r="D186" s="2">
        <v>0.04</v>
      </c>
      <c r="E186" s="2">
        <v>0</v>
      </c>
      <c r="F186" s="2">
        <v>0</v>
      </c>
      <c r="G186" s="2">
        <v>0.16</v>
      </c>
      <c r="H186" s="2">
        <v>0.2</v>
      </c>
    </row>
    <row r="187" spans="1:8" x14ac:dyDescent="0.2">
      <c r="A187" t="s">
        <v>432</v>
      </c>
      <c r="B187" t="s">
        <v>429</v>
      </c>
      <c r="C187" t="s">
        <v>408</v>
      </c>
      <c r="D187" s="2">
        <v>0.04</v>
      </c>
      <c r="E187" s="2">
        <v>0</v>
      </c>
      <c r="F187" s="2">
        <v>0</v>
      </c>
      <c r="G187" s="2">
        <v>0.13</v>
      </c>
      <c r="H187" s="2">
        <v>0.17</v>
      </c>
    </row>
    <row r="188" spans="1:8" x14ac:dyDescent="0.2">
      <c r="A188" t="s">
        <v>432</v>
      </c>
      <c r="B188" t="s">
        <v>429</v>
      </c>
      <c r="C188" t="s">
        <v>409</v>
      </c>
      <c r="D188" s="2">
        <v>0.04</v>
      </c>
      <c r="E188" s="2">
        <v>0</v>
      </c>
      <c r="F188" s="2">
        <v>0</v>
      </c>
      <c r="G188" s="2">
        <v>0.15</v>
      </c>
      <c r="H188" s="2">
        <v>0.19</v>
      </c>
    </row>
    <row r="189" spans="1:8" x14ac:dyDescent="0.2">
      <c r="A189" t="s">
        <v>432</v>
      </c>
      <c r="B189" t="s">
        <v>429</v>
      </c>
      <c r="C189" t="s">
        <v>410</v>
      </c>
      <c r="D189" s="2">
        <v>0.04</v>
      </c>
      <c r="E189" s="2">
        <v>0</v>
      </c>
      <c r="F189" s="2">
        <v>0</v>
      </c>
      <c r="G189" s="2">
        <v>0.18</v>
      </c>
      <c r="H189" s="2">
        <v>0.22</v>
      </c>
    </row>
    <row r="190" spans="1:8" x14ac:dyDescent="0.2">
      <c r="A190" t="s">
        <v>432</v>
      </c>
      <c r="B190" t="s">
        <v>429</v>
      </c>
      <c r="C190" t="s">
        <v>411</v>
      </c>
      <c r="D190" s="2">
        <v>0.04</v>
      </c>
      <c r="E190" s="2">
        <v>8.6499999999999994E-2</v>
      </c>
      <c r="F190" s="2">
        <v>0</v>
      </c>
      <c r="G190" s="2">
        <v>0</v>
      </c>
      <c r="H190" s="2">
        <v>0.18</v>
      </c>
    </row>
    <row r="191" spans="1:8" x14ac:dyDescent="0.2">
      <c r="A191" t="s">
        <v>432</v>
      </c>
      <c r="B191" t="s">
        <v>429</v>
      </c>
      <c r="C191" t="s">
        <v>412</v>
      </c>
      <c r="D191" s="2">
        <v>0.04</v>
      </c>
      <c r="E191" s="2">
        <v>0</v>
      </c>
      <c r="F191" s="2">
        <v>0</v>
      </c>
      <c r="G191" s="2">
        <v>0.13</v>
      </c>
      <c r="H191" s="2">
        <v>0.17</v>
      </c>
    </row>
    <row r="192" spans="1:8" x14ac:dyDescent="0.2">
      <c r="A192" t="s">
        <v>432</v>
      </c>
      <c r="B192" t="s">
        <v>429</v>
      </c>
      <c r="C192" t="s">
        <v>413</v>
      </c>
      <c r="D192" s="2">
        <v>0.04</v>
      </c>
      <c r="E192" s="2">
        <v>0.2268</v>
      </c>
      <c r="F192" s="2">
        <v>0.15659999999999999</v>
      </c>
      <c r="G192" s="2">
        <v>0.13</v>
      </c>
      <c r="H192" s="2">
        <v>0.17</v>
      </c>
    </row>
    <row r="193" spans="1:8" x14ac:dyDescent="0.2">
      <c r="A193" t="s">
        <v>432</v>
      </c>
      <c r="B193" t="s">
        <v>429</v>
      </c>
      <c r="C193" t="s">
        <v>414</v>
      </c>
      <c r="D193" s="2">
        <v>0.04</v>
      </c>
      <c r="E193" s="2">
        <v>0</v>
      </c>
      <c r="F193" s="2">
        <v>0</v>
      </c>
      <c r="G193" s="2">
        <v>0.16</v>
      </c>
      <c r="H193" s="2">
        <v>0.2</v>
      </c>
    </row>
    <row r="194" spans="1:8" x14ac:dyDescent="0.2">
      <c r="A194" t="s">
        <v>432</v>
      </c>
      <c r="B194" t="s">
        <v>429</v>
      </c>
      <c r="C194" t="s">
        <v>415</v>
      </c>
      <c r="D194" s="2">
        <v>0.04</v>
      </c>
      <c r="E194" s="2">
        <v>0</v>
      </c>
      <c r="F194" s="2">
        <v>0</v>
      </c>
      <c r="G194" s="2">
        <v>0.17</v>
      </c>
      <c r="H194" s="2">
        <v>0.21</v>
      </c>
    </row>
    <row r="195" spans="1:8" x14ac:dyDescent="0.2">
      <c r="A195" t="s">
        <v>432</v>
      </c>
      <c r="B195" t="s">
        <v>429</v>
      </c>
      <c r="C195" t="s">
        <v>416</v>
      </c>
      <c r="D195" s="2">
        <v>0.04</v>
      </c>
      <c r="E195" s="2">
        <v>0</v>
      </c>
      <c r="F195" s="2">
        <v>0</v>
      </c>
      <c r="G195" s="2">
        <v>0.155</v>
      </c>
      <c r="H195" s="2">
        <v>0.19500000000000001</v>
      </c>
    </row>
    <row r="196" spans="1:8" x14ac:dyDescent="0.2">
      <c r="A196" t="s">
        <v>432</v>
      </c>
      <c r="B196" t="s">
        <v>429</v>
      </c>
      <c r="C196" t="s">
        <v>417</v>
      </c>
      <c r="D196" s="2">
        <v>0.04</v>
      </c>
      <c r="E196" s="2">
        <v>0.31390000000000001</v>
      </c>
      <c r="F196" s="2">
        <v>0.23069999999999999</v>
      </c>
      <c r="G196" s="2">
        <v>0.18</v>
      </c>
      <c r="H196" s="2">
        <v>0.22</v>
      </c>
    </row>
    <row r="197" spans="1:8" x14ac:dyDescent="0.2">
      <c r="A197" t="s">
        <v>432</v>
      </c>
      <c r="B197" t="s">
        <v>429</v>
      </c>
      <c r="C197" t="s">
        <v>418</v>
      </c>
      <c r="D197" s="2">
        <v>0.04</v>
      </c>
      <c r="E197" s="2">
        <v>0</v>
      </c>
      <c r="F197" s="2">
        <v>0</v>
      </c>
      <c r="G197" s="2">
        <v>0.14000000000000001</v>
      </c>
      <c r="H197" s="2">
        <v>0.18</v>
      </c>
    </row>
    <row r="198" spans="1:8" x14ac:dyDescent="0.2">
      <c r="A198" t="s">
        <v>432</v>
      </c>
      <c r="B198" t="s">
        <v>429</v>
      </c>
      <c r="C198" t="s">
        <v>419</v>
      </c>
      <c r="D198" s="2">
        <v>0.04</v>
      </c>
      <c r="E198" s="2">
        <v>0</v>
      </c>
      <c r="F198" s="2">
        <v>0</v>
      </c>
      <c r="G198" s="2">
        <v>0.13</v>
      </c>
      <c r="H198" s="2">
        <v>0.17</v>
      </c>
    </row>
    <row r="199" spans="1:8" x14ac:dyDescent="0.2">
      <c r="A199" t="s">
        <v>432</v>
      </c>
      <c r="B199" t="s">
        <v>429</v>
      </c>
      <c r="C199" t="s">
        <v>420</v>
      </c>
      <c r="D199" s="2">
        <v>0.04</v>
      </c>
      <c r="E199" s="2">
        <v>0</v>
      </c>
      <c r="F199" s="2">
        <v>0</v>
      </c>
      <c r="G199" s="2">
        <v>0.13</v>
      </c>
      <c r="H199" s="2">
        <v>0.17</v>
      </c>
    </row>
    <row r="200" spans="1:8" x14ac:dyDescent="0.2">
      <c r="A200" t="s">
        <v>432</v>
      </c>
      <c r="B200" t="s">
        <v>429</v>
      </c>
      <c r="C200" t="s">
        <v>421</v>
      </c>
      <c r="D200" s="2">
        <v>0.04</v>
      </c>
      <c r="E200" s="2">
        <v>0.22869999999999999</v>
      </c>
      <c r="F200" s="2">
        <v>0.17069999999999999</v>
      </c>
      <c r="G200" s="2">
        <v>0.14000000000000001</v>
      </c>
      <c r="H200" s="2">
        <v>0.18</v>
      </c>
    </row>
    <row r="201" spans="1:8" x14ac:dyDescent="0.2">
      <c r="A201" t="s">
        <v>432</v>
      </c>
      <c r="B201" t="s">
        <v>429</v>
      </c>
      <c r="C201" t="s">
        <v>422</v>
      </c>
      <c r="D201" s="2">
        <v>0.04</v>
      </c>
      <c r="E201" s="2">
        <v>0</v>
      </c>
      <c r="F201" s="2">
        <v>0</v>
      </c>
      <c r="G201" s="2">
        <v>0.16</v>
      </c>
      <c r="H201" s="2">
        <v>0.2</v>
      </c>
    </row>
    <row r="202" spans="1:8" x14ac:dyDescent="0.2">
      <c r="A202" t="s">
        <v>432</v>
      </c>
      <c r="B202" t="s">
        <v>429</v>
      </c>
      <c r="C202" t="s">
        <v>403</v>
      </c>
      <c r="D202" s="2">
        <v>7.0000000000000007E-2</v>
      </c>
      <c r="E202" s="2">
        <v>0</v>
      </c>
      <c r="F202" s="2">
        <v>0</v>
      </c>
      <c r="G202" s="2">
        <v>0.12</v>
      </c>
      <c r="H202" s="2">
        <v>0.19</v>
      </c>
    </row>
    <row r="203" spans="1:8" x14ac:dyDescent="0.2">
      <c r="A203" t="s">
        <v>432</v>
      </c>
      <c r="B203" t="s">
        <v>429</v>
      </c>
      <c r="C203" t="s">
        <v>404</v>
      </c>
      <c r="D203" s="2">
        <v>7.0000000000000007E-2</v>
      </c>
      <c r="E203" s="2">
        <v>0</v>
      </c>
      <c r="F203" s="2">
        <v>0</v>
      </c>
      <c r="G203" s="2">
        <v>0.13</v>
      </c>
      <c r="H203" s="2">
        <v>0.2</v>
      </c>
    </row>
    <row r="204" spans="1:8" x14ac:dyDescent="0.2">
      <c r="A204" t="s">
        <v>432</v>
      </c>
      <c r="B204" t="s">
        <v>429</v>
      </c>
      <c r="C204" t="s">
        <v>405</v>
      </c>
      <c r="D204" s="2">
        <v>7.0000000000000007E-2</v>
      </c>
      <c r="E204" s="2">
        <v>0</v>
      </c>
      <c r="F204" s="2">
        <v>0</v>
      </c>
      <c r="G204" s="2">
        <v>0.13500000000000001</v>
      </c>
      <c r="H204" s="2">
        <v>0.20499999999999999</v>
      </c>
    </row>
    <row r="205" spans="1:8" x14ac:dyDescent="0.2">
      <c r="A205" t="s">
        <v>432</v>
      </c>
      <c r="B205" t="s">
        <v>429</v>
      </c>
      <c r="C205" t="s">
        <v>406</v>
      </c>
      <c r="D205" s="2">
        <v>7.0000000000000007E-2</v>
      </c>
      <c r="E205" s="2">
        <v>0</v>
      </c>
      <c r="F205" s="2">
        <v>0</v>
      </c>
      <c r="G205" s="2">
        <v>0.13</v>
      </c>
      <c r="H205" s="2">
        <v>0.2</v>
      </c>
    </row>
    <row r="206" spans="1:8" x14ac:dyDescent="0.2">
      <c r="A206" t="s">
        <v>432</v>
      </c>
      <c r="B206" t="s">
        <v>429</v>
      </c>
      <c r="C206" t="s">
        <v>407</v>
      </c>
      <c r="D206" s="2">
        <v>7.0000000000000007E-2</v>
      </c>
      <c r="E206" s="2">
        <v>0</v>
      </c>
      <c r="F206" s="2">
        <v>0</v>
      </c>
      <c r="G206" s="2">
        <v>0.13</v>
      </c>
      <c r="H206" s="2">
        <v>0.2</v>
      </c>
    </row>
    <row r="207" spans="1:8" x14ac:dyDescent="0.2">
      <c r="A207" t="s">
        <v>432</v>
      </c>
      <c r="B207" t="s">
        <v>429</v>
      </c>
      <c r="C207" t="s">
        <v>408</v>
      </c>
      <c r="D207" s="2">
        <v>7.0000000000000007E-2</v>
      </c>
      <c r="E207" s="2">
        <v>0</v>
      </c>
      <c r="F207" s="2">
        <v>0</v>
      </c>
      <c r="G207" s="2">
        <v>0.1</v>
      </c>
      <c r="H207" s="2">
        <v>0.17</v>
      </c>
    </row>
    <row r="208" spans="1:8" x14ac:dyDescent="0.2">
      <c r="A208" t="s">
        <v>432</v>
      </c>
      <c r="B208" t="s">
        <v>429</v>
      </c>
      <c r="C208" t="s">
        <v>409</v>
      </c>
      <c r="D208" s="2">
        <v>7.0000000000000007E-2</v>
      </c>
      <c r="E208" s="2">
        <v>0</v>
      </c>
      <c r="F208" s="2">
        <v>0</v>
      </c>
      <c r="G208" s="2">
        <v>0.12</v>
      </c>
      <c r="H208" s="2">
        <v>0.19</v>
      </c>
    </row>
    <row r="209" spans="1:8" x14ac:dyDescent="0.2">
      <c r="A209" t="s">
        <v>432</v>
      </c>
      <c r="B209" t="s">
        <v>429</v>
      </c>
      <c r="C209" t="s">
        <v>410</v>
      </c>
      <c r="D209" s="2">
        <v>7.0000000000000007E-2</v>
      </c>
      <c r="E209" s="2">
        <v>0</v>
      </c>
      <c r="F209" s="2">
        <v>0</v>
      </c>
      <c r="G209" s="2">
        <v>0.15</v>
      </c>
      <c r="H209" s="2">
        <v>0.22</v>
      </c>
    </row>
    <row r="210" spans="1:8" x14ac:dyDescent="0.2">
      <c r="A210" t="s">
        <v>432</v>
      </c>
      <c r="B210" t="s">
        <v>429</v>
      </c>
      <c r="C210" t="s">
        <v>411</v>
      </c>
      <c r="D210" s="2">
        <v>0.18</v>
      </c>
      <c r="E210" s="2">
        <v>8.6499999999999994E-2</v>
      </c>
      <c r="F210" s="2">
        <v>0</v>
      </c>
      <c r="G210" s="2">
        <v>0</v>
      </c>
      <c r="H210" s="2">
        <v>0.18</v>
      </c>
    </row>
    <row r="211" spans="1:8" x14ac:dyDescent="0.2">
      <c r="A211" t="s">
        <v>432</v>
      </c>
      <c r="B211" t="s">
        <v>429</v>
      </c>
      <c r="C211" t="s">
        <v>412</v>
      </c>
      <c r="D211" s="2">
        <v>7.0000000000000007E-2</v>
      </c>
      <c r="E211" s="2">
        <v>0</v>
      </c>
      <c r="F211" s="2">
        <v>0</v>
      </c>
      <c r="G211" s="2">
        <v>0.1</v>
      </c>
      <c r="H211" s="2">
        <v>0.17</v>
      </c>
    </row>
    <row r="212" spans="1:8" x14ac:dyDescent="0.2">
      <c r="A212" t="s">
        <v>432</v>
      </c>
      <c r="B212" t="s">
        <v>429</v>
      </c>
      <c r="C212" t="s">
        <v>413</v>
      </c>
      <c r="D212" s="2">
        <v>7.0000000000000007E-2</v>
      </c>
      <c r="E212" s="2">
        <v>0.20069999999999999</v>
      </c>
      <c r="F212" s="2">
        <v>0.1205</v>
      </c>
      <c r="G212" s="2">
        <v>0.1</v>
      </c>
      <c r="H212" s="2">
        <v>0.17</v>
      </c>
    </row>
    <row r="213" spans="1:8" x14ac:dyDescent="0.2">
      <c r="A213" t="s">
        <v>432</v>
      </c>
      <c r="B213" t="s">
        <v>429</v>
      </c>
      <c r="C213" t="s">
        <v>414</v>
      </c>
      <c r="D213" s="2">
        <v>7.0000000000000007E-2</v>
      </c>
      <c r="E213" s="2">
        <v>0</v>
      </c>
      <c r="F213" s="2">
        <v>0</v>
      </c>
      <c r="G213" s="2">
        <v>0.13</v>
      </c>
      <c r="H213" s="2">
        <v>0.2</v>
      </c>
    </row>
    <row r="214" spans="1:8" x14ac:dyDescent="0.2">
      <c r="A214" t="s">
        <v>432</v>
      </c>
      <c r="B214" t="s">
        <v>429</v>
      </c>
      <c r="C214" t="s">
        <v>415</v>
      </c>
      <c r="D214" s="2">
        <v>7.0000000000000007E-2</v>
      </c>
      <c r="E214" s="2">
        <v>0</v>
      </c>
      <c r="F214" s="2">
        <v>0</v>
      </c>
      <c r="G214" s="2">
        <v>0.13999999999999999</v>
      </c>
      <c r="H214" s="2">
        <v>0.21</v>
      </c>
    </row>
    <row r="215" spans="1:8" x14ac:dyDescent="0.2">
      <c r="A215" t="s">
        <v>432</v>
      </c>
      <c r="B215" t="s">
        <v>429</v>
      </c>
      <c r="C215" t="s">
        <v>416</v>
      </c>
      <c r="D215" s="2">
        <v>0.12</v>
      </c>
      <c r="E215" s="2">
        <v>0</v>
      </c>
      <c r="F215" s="2">
        <v>0</v>
      </c>
      <c r="G215" s="2">
        <v>7.4999999999999997E-2</v>
      </c>
      <c r="H215" s="2">
        <v>0.19500000000000001</v>
      </c>
    </row>
    <row r="216" spans="1:8" x14ac:dyDescent="0.2">
      <c r="A216" t="s">
        <v>432</v>
      </c>
      <c r="B216" t="s">
        <v>429</v>
      </c>
      <c r="C216" t="s">
        <v>417</v>
      </c>
      <c r="D216" s="2">
        <v>0.12</v>
      </c>
      <c r="E216" s="2">
        <v>0.21529999999999999</v>
      </c>
      <c r="F216" s="2">
        <v>0.12820000000000001</v>
      </c>
      <c r="G216" s="2">
        <v>0.1</v>
      </c>
      <c r="H216" s="2">
        <v>0.22</v>
      </c>
    </row>
    <row r="217" spans="1:8" x14ac:dyDescent="0.2">
      <c r="A217" t="s">
        <v>432</v>
      </c>
      <c r="B217" t="s">
        <v>429</v>
      </c>
      <c r="C217" t="s">
        <v>418</v>
      </c>
      <c r="D217" s="2">
        <v>7.0000000000000007E-2</v>
      </c>
      <c r="E217" s="2">
        <v>0</v>
      </c>
      <c r="F217" s="2">
        <v>0</v>
      </c>
      <c r="G217" s="2">
        <v>0.10999999999999999</v>
      </c>
      <c r="H217" s="2">
        <v>0.18</v>
      </c>
    </row>
    <row r="218" spans="1:8" x14ac:dyDescent="0.2">
      <c r="A218" t="s">
        <v>432</v>
      </c>
      <c r="B218" t="s">
        <v>429</v>
      </c>
      <c r="C218" t="s">
        <v>419</v>
      </c>
      <c r="D218" s="2">
        <v>0.12</v>
      </c>
      <c r="E218" s="2">
        <v>0</v>
      </c>
      <c r="F218" s="2">
        <v>0</v>
      </c>
      <c r="G218" s="2">
        <v>5.0000000000000017E-2</v>
      </c>
      <c r="H218" s="2">
        <v>0.17</v>
      </c>
    </row>
    <row r="219" spans="1:8" x14ac:dyDescent="0.2">
      <c r="A219" t="s">
        <v>432</v>
      </c>
      <c r="B219" t="s">
        <v>429</v>
      </c>
      <c r="C219" t="s">
        <v>420</v>
      </c>
      <c r="D219" s="2">
        <v>0.12</v>
      </c>
      <c r="E219" s="2">
        <v>0</v>
      </c>
      <c r="F219" s="2">
        <v>0</v>
      </c>
      <c r="G219" s="2">
        <v>5.0000000000000017E-2</v>
      </c>
      <c r="H219" s="2">
        <v>0.17</v>
      </c>
    </row>
    <row r="220" spans="1:8" x14ac:dyDescent="0.2">
      <c r="A220" t="s">
        <v>432</v>
      </c>
      <c r="B220" t="s">
        <v>429</v>
      </c>
      <c r="C220" t="s">
        <v>421</v>
      </c>
      <c r="D220" s="2">
        <v>0.12</v>
      </c>
      <c r="E220" s="2">
        <v>0.1371</v>
      </c>
      <c r="F220" s="2">
        <v>7.3200000000000001E-2</v>
      </c>
      <c r="G220" s="2">
        <v>0.06</v>
      </c>
      <c r="H220" s="2">
        <v>0.18</v>
      </c>
    </row>
    <row r="221" spans="1:8" x14ac:dyDescent="0.2">
      <c r="A221" t="s">
        <v>432</v>
      </c>
      <c r="B221" t="s">
        <v>429</v>
      </c>
      <c r="C221" t="s">
        <v>422</v>
      </c>
      <c r="D221" s="2">
        <v>7.0000000000000007E-2</v>
      </c>
      <c r="E221" s="2">
        <v>0</v>
      </c>
      <c r="F221" s="2">
        <v>0</v>
      </c>
      <c r="G221" s="2">
        <v>0.13</v>
      </c>
      <c r="H221" s="2">
        <v>0.2</v>
      </c>
    </row>
  </sheetData>
  <autoFilter ref="A1:H221" xr:uid="{1BD65194-8A92-4D46-9AC8-1D73F5D2A5E7}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7AF7-EA07-BA48-B6A0-93D2638DDDA2}">
  <dimension ref="A1:D27"/>
  <sheetViews>
    <sheetView workbookViewId="0">
      <selection activeCell="C7" sqref="C7"/>
    </sheetView>
  </sheetViews>
  <sheetFormatPr baseColWidth="10" defaultColWidth="10.83203125" defaultRowHeight="16" x14ac:dyDescent="0.2"/>
  <sheetData>
    <row r="1" spans="1:4" x14ac:dyDescent="0.2">
      <c r="A1" t="s">
        <v>433</v>
      </c>
      <c r="B1" t="s">
        <v>434</v>
      </c>
      <c r="D1" t="s">
        <v>391</v>
      </c>
    </row>
    <row r="2" spans="1:4" x14ac:dyDescent="0.2">
      <c r="A2" t="s">
        <v>403</v>
      </c>
      <c r="B2" t="s">
        <v>435</v>
      </c>
      <c r="D2" t="s">
        <v>392</v>
      </c>
    </row>
    <row r="3" spans="1:4" x14ac:dyDescent="0.2">
      <c r="A3" t="s">
        <v>436</v>
      </c>
    </row>
    <row r="4" spans="1:4" x14ac:dyDescent="0.2">
      <c r="A4" t="s">
        <v>404</v>
      </c>
    </row>
    <row r="5" spans="1:4" x14ac:dyDescent="0.2">
      <c r="A5" t="s">
        <v>405</v>
      </c>
    </row>
    <row r="6" spans="1:4" x14ac:dyDescent="0.2">
      <c r="A6" t="s">
        <v>406</v>
      </c>
    </row>
    <row r="7" spans="1:4" x14ac:dyDescent="0.2">
      <c r="A7" t="s">
        <v>407</v>
      </c>
    </row>
    <row r="8" spans="1:4" x14ac:dyDescent="0.2">
      <c r="A8" t="s">
        <v>408</v>
      </c>
    </row>
    <row r="9" spans="1:4" x14ac:dyDescent="0.2">
      <c r="A9" t="s">
        <v>409</v>
      </c>
    </row>
    <row r="10" spans="1:4" x14ac:dyDescent="0.2">
      <c r="A10" t="s">
        <v>410</v>
      </c>
    </row>
    <row r="11" spans="1:4" x14ac:dyDescent="0.2">
      <c r="A11" t="s">
        <v>413</v>
      </c>
    </row>
    <row r="12" spans="1:4" x14ac:dyDescent="0.2">
      <c r="A12" t="s">
        <v>412</v>
      </c>
    </row>
    <row r="13" spans="1:4" x14ac:dyDescent="0.2">
      <c r="A13" t="s">
        <v>411</v>
      </c>
    </row>
    <row r="14" spans="1:4" x14ac:dyDescent="0.2">
      <c r="A14" t="s">
        <v>437</v>
      </c>
    </row>
    <row r="15" spans="1:4" x14ac:dyDescent="0.2">
      <c r="A15" t="s">
        <v>414</v>
      </c>
    </row>
    <row r="16" spans="1:4" x14ac:dyDescent="0.2">
      <c r="A16" t="s">
        <v>416</v>
      </c>
    </row>
    <row r="17" spans="1:1" x14ac:dyDescent="0.2">
      <c r="A17" t="s">
        <v>438</v>
      </c>
    </row>
    <row r="18" spans="1:1" x14ac:dyDescent="0.2">
      <c r="A18" t="s">
        <v>415</v>
      </c>
    </row>
    <row r="19" spans="1:1" x14ac:dyDescent="0.2">
      <c r="A19" t="s">
        <v>417</v>
      </c>
    </row>
    <row r="20" spans="1:1" x14ac:dyDescent="0.2">
      <c r="A20" t="s">
        <v>418</v>
      </c>
    </row>
    <row r="21" spans="1:1" x14ac:dyDescent="0.2">
      <c r="A21" t="s">
        <v>419</v>
      </c>
    </row>
    <row r="22" spans="1:1" x14ac:dyDescent="0.2">
      <c r="A22" t="s">
        <v>439</v>
      </c>
    </row>
    <row r="23" spans="1:1" x14ac:dyDescent="0.2">
      <c r="A23" t="s">
        <v>440</v>
      </c>
    </row>
    <row r="24" spans="1:1" x14ac:dyDescent="0.2">
      <c r="A24" t="s">
        <v>420</v>
      </c>
    </row>
    <row r="25" spans="1:1" x14ac:dyDescent="0.2">
      <c r="A25" t="s">
        <v>421</v>
      </c>
    </row>
    <row r="26" spans="1:1" x14ac:dyDescent="0.2">
      <c r="A26" t="s">
        <v>441</v>
      </c>
    </row>
    <row r="27" spans="1:1" x14ac:dyDescent="0.2">
      <c r="A27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 x 2026</vt:lpstr>
      <vt:lpstr>2026 - Mar - V2</vt:lpstr>
      <vt:lpstr>2026</vt:lpstr>
      <vt:lpstr>2025 NOV</vt:lpstr>
      <vt:lpstr>GERAL</vt:lpstr>
      <vt:lpstr>PNs</vt:lpstr>
      <vt:lpstr>IMPOSTOS</vt:lpstr>
      <vt:lpstr>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Roberto Mantovani Gutierrez Lechuga</dc:creator>
  <cp:lastModifiedBy>Eduardo Roberto Mantovani Gutierrez Lechuga</cp:lastModifiedBy>
  <dcterms:created xsi:type="dcterms:W3CDTF">2026-01-29T14:51:21Z</dcterms:created>
  <dcterms:modified xsi:type="dcterms:W3CDTF">2026-03-18T13:12:57Z</dcterms:modified>
</cp:coreProperties>
</file>